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Owner\Documents\アスパーク\研修3_歩留まり集計\python\inputs\"/>
    </mc:Choice>
  </mc:AlternateContent>
  <xr:revisionPtr revIDLastSave="0" documentId="13_ncr:1_{EA267188-37C2-455E-BA03-1A8583DE463B}" xr6:coauthVersionLast="47" xr6:coauthVersionMax="47" xr10:uidLastSave="{00000000-0000-0000-0000-000000000000}"/>
  <bookViews>
    <workbookView xWindow="-108" yWindow="-108" windowWidth="23256" windowHeight="12456" tabRatio="780" activeTab="2" xr2:uid="{00000000-000D-0000-FFFF-FFFF00000000}"/>
  </bookViews>
  <sheets>
    <sheet name="Summary_Overview" sheetId="1" r:id="rId1"/>
    <sheet name="LOT_NO_aaa001" sheetId="2" r:id="rId2"/>
    <sheet name="LOT_NO_bbb002" sheetId="3" r:id="rId3"/>
    <sheet name="LOT_NO_ccc003" sheetId="4" r:id="rId4"/>
    <sheet name="LOT_NO_ddd004" sheetId="5" r:id="rId5"/>
    <sheet name="LOT_NO_eee005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6" l="1"/>
  <c r="E3" i="6" s="1"/>
  <c r="F3" i="5"/>
  <c r="E3" i="5"/>
  <c r="H3" i="5" s="1"/>
  <c r="H7" i="1" s="1"/>
  <c r="F3" i="4"/>
  <c r="F6" i="1" s="1"/>
  <c r="F3" i="3"/>
  <c r="E3" i="3" s="1"/>
  <c r="H3" i="2"/>
  <c r="H4" i="1" s="1"/>
  <c r="G4" i="1"/>
  <c r="E3" i="2"/>
  <c r="E4" i="1" s="1"/>
  <c r="F3" i="2"/>
  <c r="F4" i="1" s="1"/>
  <c r="R8" i="1"/>
  <c r="Q8" i="1"/>
  <c r="P8" i="1"/>
  <c r="O8" i="1"/>
  <c r="N8" i="1"/>
  <c r="M8" i="1"/>
  <c r="L8" i="1"/>
  <c r="K8" i="1"/>
  <c r="J8" i="1"/>
  <c r="I8" i="1"/>
  <c r="R7" i="1"/>
  <c r="Q7" i="1"/>
  <c r="P7" i="1"/>
  <c r="O7" i="1"/>
  <c r="N7" i="1"/>
  <c r="M7" i="1"/>
  <c r="L7" i="1"/>
  <c r="K7" i="1"/>
  <c r="J7" i="1"/>
  <c r="I7" i="1"/>
  <c r="R6" i="1"/>
  <c r="Q6" i="1"/>
  <c r="P6" i="1"/>
  <c r="O6" i="1"/>
  <c r="N6" i="1"/>
  <c r="M6" i="1"/>
  <c r="L6" i="1"/>
  <c r="K6" i="1"/>
  <c r="J6" i="1"/>
  <c r="I6" i="1"/>
  <c r="R5" i="1"/>
  <c r="Q5" i="1"/>
  <c r="P5" i="1"/>
  <c r="O5" i="1"/>
  <c r="N5" i="1"/>
  <c r="M5" i="1"/>
  <c r="L5" i="1"/>
  <c r="K5" i="1"/>
  <c r="J5" i="1"/>
  <c r="I5" i="1"/>
  <c r="R4" i="1"/>
  <c r="Q4" i="1"/>
  <c r="P4" i="1"/>
  <c r="O4" i="1"/>
  <c r="N4" i="1"/>
  <c r="M4" i="1"/>
  <c r="L4" i="1"/>
  <c r="K4" i="1"/>
  <c r="J4" i="1"/>
  <c r="I4" i="1"/>
  <c r="B8" i="1"/>
  <c r="C8" i="1"/>
  <c r="D8" i="1"/>
  <c r="F8" i="1"/>
  <c r="G8" i="1"/>
  <c r="A8" i="1"/>
  <c r="B7" i="1"/>
  <c r="C7" i="1"/>
  <c r="D7" i="1"/>
  <c r="F7" i="1"/>
  <c r="G7" i="1"/>
  <c r="A7" i="1"/>
  <c r="B6" i="1"/>
  <c r="C6" i="1"/>
  <c r="D6" i="1"/>
  <c r="G6" i="1"/>
  <c r="A6" i="1"/>
  <c r="B5" i="1"/>
  <c r="C5" i="1"/>
  <c r="D5" i="1"/>
  <c r="G5" i="1"/>
  <c r="A5" i="1"/>
  <c r="B4" i="1"/>
  <c r="C4" i="1"/>
  <c r="D4" i="1"/>
  <c r="A4" i="1"/>
  <c r="E8" i="1" l="1"/>
  <c r="H3" i="6"/>
  <c r="H8" i="1" s="1"/>
  <c r="E7" i="1"/>
  <c r="E3" i="4"/>
  <c r="H3" i="3"/>
  <c r="H5" i="1" s="1"/>
  <c r="E5" i="1"/>
  <c r="F5" i="1"/>
  <c r="H3" i="4" l="1"/>
  <c r="H6" i="1" s="1"/>
  <c r="E6" i="1"/>
</calcChain>
</file>

<file path=xl/sharedStrings.xml><?xml version="1.0" encoding="utf-8"?>
<sst xmlns="http://schemas.openxmlformats.org/spreadsheetml/2006/main" count="700" uniqueCount="265">
  <si>
    <t>全ロット製造歩留まり・不良総合一覧表</t>
  </si>
  <si>
    <t>LOT_No</t>
  </si>
  <si>
    <t>start
(yyyy/mm/dd)</t>
  </si>
  <si>
    <t>end
(yyyy/mm/dd)</t>
  </si>
  <si>
    <t>Total
(pcs)</t>
  </si>
  <si>
    <t>pass
(pcs)</t>
  </si>
  <si>
    <t>fail
(pcs)</t>
  </si>
  <si>
    <t>Target
(%)</t>
  </si>
  <si>
    <t>yield
(%)</t>
  </si>
  <si>
    <t>CAT1</t>
  </si>
  <si>
    <t>CAT2</t>
  </si>
  <si>
    <t>CAT3</t>
  </si>
  <si>
    <t>CAT4</t>
  </si>
  <si>
    <t>CAT5</t>
  </si>
  <si>
    <t>CAT6</t>
  </si>
  <si>
    <t>CAT7</t>
  </si>
  <si>
    <t>CAT8</t>
  </si>
  <si>
    <t>CAT9</t>
  </si>
  <si>
    <t>CAT10</t>
  </si>
  <si>
    <t>Worst 5</t>
  </si>
  <si>
    <t>aaa001</t>
  </si>
  <si>
    <t>2026-01-01</t>
  </si>
  <si>
    <t>2026-01-03</t>
  </si>
  <si>
    <t>bbb002</t>
  </si>
  <si>
    <t>2026-01-04</t>
  </si>
  <si>
    <t>2026-01-06</t>
  </si>
  <si>
    <t>ccc003</t>
  </si>
  <si>
    <t>2026-01-07</t>
  </si>
  <si>
    <t>2026-01-09</t>
  </si>
  <si>
    <t>ddd004</t>
  </si>
  <si>
    <t>2026-01-10</t>
  </si>
  <si>
    <t>2026-01-12</t>
  </si>
  <si>
    <t>eee005</t>
  </si>
  <si>
    <t>2026-01-13</t>
  </si>
  <si>
    <t>2026-01-15</t>
  </si>
  <si>
    <t>LOT aaa001 統合データサマリー</t>
  </si>
  <si>
    <t>カテゴリ別 不良集計リスト</t>
  </si>
  <si>
    <t>Category</t>
  </si>
  <si>
    <t>Tno 範囲</t>
  </si>
  <si>
    <t>不良数量 (pcs)</t>
  </si>
  <si>
    <t>Tno.100 - Tno.199</t>
  </si>
  <si>
    <t>Tno.200 - Tno.299</t>
  </si>
  <si>
    <t>Tno.300 - Tno.399</t>
  </si>
  <si>
    <t>Tno.400 - Tno.499</t>
  </si>
  <si>
    <t>Tno.500 - Tno.599</t>
  </si>
  <si>
    <t>Tno.600 - Tno.699</t>
  </si>
  <si>
    <t>Tno.700 - Tno.799</t>
  </si>
  <si>
    <t>Tno.800 - Tno.849</t>
  </si>
  <si>
    <t>Tno.850 - Tno.899</t>
  </si>
  <si>
    <t>Tno.900 - Tno.949</t>
  </si>
  <si>
    <t>不良発生内訳明細一覧 (数量順)</t>
  </si>
  <si>
    <t>順位</t>
  </si>
  <si>
    <t>不良項目 (Tno)</t>
  </si>
  <si>
    <t>発生数量 (pcs)</t>
  </si>
  <si>
    <t>所属カテゴリ</t>
  </si>
  <si>
    <t>No.1</t>
  </si>
  <si>
    <t>Tno.234</t>
  </si>
  <si>
    <t>No.2</t>
  </si>
  <si>
    <t>Tno.212</t>
  </si>
  <si>
    <t>No.3</t>
  </si>
  <si>
    <t>Tno.145</t>
  </si>
  <si>
    <t>No.4</t>
  </si>
  <si>
    <t>Tno.110</t>
  </si>
  <si>
    <t>No.5</t>
  </si>
  <si>
    <t>Tno.552</t>
  </si>
  <si>
    <t>No.6</t>
  </si>
  <si>
    <t>Tno.217</t>
  </si>
  <si>
    <t>No.7</t>
  </si>
  <si>
    <t>Tno.126</t>
  </si>
  <si>
    <t>No.8</t>
  </si>
  <si>
    <t>Tno.864</t>
  </si>
  <si>
    <t>No.9</t>
  </si>
  <si>
    <t>Tno.385</t>
  </si>
  <si>
    <t>No.10</t>
  </si>
  <si>
    <t>Tno.859</t>
  </si>
  <si>
    <t>No.11</t>
  </si>
  <si>
    <t>Tno.663</t>
  </si>
  <si>
    <t>No.12</t>
  </si>
  <si>
    <t>Tno.354</t>
  </si>
  <si>
    <t>No.13</t>
  </si>
  <si>
    <t>Tno.246</t>
  </si>
  <si>
    <t>No.14</t>
  </si>
  <si>
    <t>Tno.206</t>
  </si>
  <si>
    <t>No.15</t>
  </si>
  <si>
    <t>Tno.191</t>
  </si>
  <si>
    <t>No.16</t>
  </si>
  <si>
    <t>Tno.709</t>
  </si>
  <si>
    <t>No.17</t>
  </si>
  <si>
    <t>Tno.536</t>
  </si>
  <si>
    <t>No.18</t>
  </si>
  <si>
    <t>Tno.197</t>
  </si>
  <si>
    <t>No.19</t>
  </si>
  <si>
    <t>Tno.622</t>
  </si>
  <si>
    <t>No.20</t>
  </si>
  <si>
    <t>Tno.128</t>
  </si>
  <si>
    <t>No.21</t>
  </si>
  <si>
    <t>Tno.679</t>
  </si>
  <si>
    <t>No.22</t>
  </si>
  <si>
    <t>Tno.759</t>
  </si>
  <si>
    <t>No.23</t>
  </si>
  <si>
    <t>Tno.332</t>
  </si>
  <si>
    <t>No.24</t>
  </si>
  <si>
    <t>Tno.797</t>
  </si>
  <si>
    <t>No.25</t>
  </si>
  <si>
    <t>Tno.863</t>
  </si>
  <si>
    <t>No.26</t>
  </si>
  <si>
    <t>Tno.133</t>
  </si>
  <si>
    <t>No.27</t>
  </si>
  <si>
    <t>Tno.131</t>
  </si>
  <si>
    <t>No.28</t>
  </si>
  <si>
    <t>Tno.327</t>
  </si>
  <si>
    <t>No.29</t>
  </si>
  <si>
    <t>Tno.342</t>
  </si>
  <si>
    <t>No.30</t>
  </si>
  <si>
    <t>Tno.721</t>
  </si>
  <si>
    <t>LOT bbb002 統合データサマリー</t>
  </si>
  <si>
    <t>Tno.189</t>
  </si>
  <si>
    <t>Tno.112</t>
  </si>
  <si>
    <t>Tno.255</t>
  </si>
  <si>
    <t>Tno.504</t>
  </si>
  <si>
    <t>Tno.578</t>
  </si>
  <si>
    <t>Tno.574</t>
  </si>
  <si>
    <t>Tno.403</t>
  </si>
  <si>
    <t>Tno.738</t>
  </si>
  <si>
    <t>Tno.473</t>
  </si>
  <si>
    <t>Tno.696</t>
  </si>
  <si>
    <t>Tno.826</t>
  </si>
  <si>
    <t>Tno.172</t>
  </si>
  <si>
    <t>Tno.782</t>
  </si>
  <si>
    <t>Tno.336</t>
  </si>
  <si>
    <t>Tno.931</t>
  </si>
  <si>
    <t>Tno.852</t>
  </si>
  <si>
    <t>Tno.654</t>
  </si>
  <si>
    <t>Tno.490</t>
  </si>
  <si>
    <t>Tno.181</t>
  </si>
  <si>
    <t>Tno.748</t>
  </si>
  <si>
    <t>Tno.182</t>
  </si>
  <si>
    <t>Tno.723</t>
  </si>
  <si>
    <t>Tno.373</t>
  </si>
  <si>
    <t>Tno.229</t>
  </si>
  <si>
    <t>Tno.670</t>
  </si>
  <si>
    <t>Tno.299</t>
  </si>
  <si>
    <t>Tno.147</t>
  </si>
  <si>
    <t>Tno.896</t>
  </si>
  <si>
    <t>Tno.399</t>
  </si>
  <si>
    <t>LOT ccc003 統合データサマリー</t>
  </si>
  <si>
    <t>Tno.115</t>
  </si>
  <si>
    <t>Tno.178</t>
  </si>
  <si>
    <t>Tno.233</t>
  </si>
  <si>
    <t>Tno.201</t>
  </si>
  <si>
    <t>Tno.555</t>
  </si>
  <si>
    <t>Tno.492</t>
  </si>
  <si>
    <t>Tno.380</t>
  </si>
  <si>
    <t>Tno.760</t>
  </si>
  <si>
    <t>Tno.809</t>
  </si>
  <si>
    <t>Tno.675</t>
  </si>
  <si>
    <t>Tno.328</t>
  </si>
  <si>
    <t>Tno.806</t>
  </si>
  <si>
    <t>Tno.436</t>
  </si>
  <si>
    <t>Tno.891</t>
  </si>
  <si>
    <t>Tno.899</t>
  </si>
  <si>
    <t>Tno.158</t>
  </si>
  <si>
    <t>Tno.338</t>
  </si>
  <si>
    <t>Tno.946</t>
  </si>
  <si>
    <t>Tno.929</t>
  </si>
  <si>
    <t>Tno.427</t>
  </si>
  <si>
    <t>Tno.514</t>
  </si>
  <si>
    <t>Tno.378</t>
  </si>
  <si>
    <t>Tno.168</t>
  </si>
  <si>
    <t>Tno.320</t>
  </si>
  <si>
    <t>Tno.685</t>
  </si>
  <si>
    <t>Tno.840</t>
  </si>
  <si>
    <t>Tno.426</t>
  </si>
  <si>
    <t>Tno.321</t>
  </si>
  <si>
    <t>Tno.776</t>
  </si>
  <si>
    <t>LOT ddd004 統合データサマリー</t>
  </si>
  <si>
    <t>Tno.154</t>
  </si>
  <si>
    <t>Tno.102</t>
  </si>
  <si>
    <t>Tno.267</t>
  </si>
  <si>
    <t>Tno.221</t>
  </si>
  <si>
    <t>Tno.333</t>
  </si>
  <si>
    <t>Tno.219</t>
  </si>
  <si>
    <t>Tno.453</t>
  </si>
  <si>
    <t>Tno.550</t>
  </si>
  <si>
    <t>Tno.286</t>
  </si>
  <si>
    <t>Tno.624</t>
  </si>
  <si>
    <t>Tno.801</t>
  </si>
  <si>
    <t>Tno.803</t>
  </si>
  <si>
    <t>Tno.873</t>
  </si>
  <si>
    <t>Tno.405</t>
  </si>
  <si>
    <t>Tno.264</t>
  </si>
  <si>
    <t>Tno.104</t>
  </si>
  <si>
    <t>Tno.841</t>
  </si>
  <si>
    <t>Tno.843</t>
  </si>
  <si>
    <t>Tno.761</t>
  </si>
  <si>
    <t>Tno.844</t>
  </si>
  <si>
    <t>Tno.885</t>
  </si>
  <si>
    <t>Tno.892</t>
  </si>
  <si>
    <t>Tno.216</t>
  </si>
  <si>
    <t>Tno.671</t>
  </si>
  <si>
    <t>Tno.569</t>
  </si>
  <si>
    <t>Tno.374</t>
  </si>
  <si>
    <t>Tno.617</t>
  </si>
  <si>
    <t>LOT eee005 統合データサマリー</t>
  </si>
  <si>
    <t>Tno.254</t>
  </si>
  <si>
    <t>Tno.210</t>
  </si>
  <si>
    <t>Tno.350</t>
  </si>
  <si>
    <t>Tno.161</t>
  </si>
  <si>
    <t>Tno.351</t>
  </si>
  <si>
    <t>Tno.376</t>
  </si>
  <si>
    <t>Tno.538</t>
  </si>
  <si>
    <t>Tno.419</t>
  </si>
  <si>
    <t>Tno.854</t>
  </si>
  <si>
    <t>Tno.602</t>
  </si>
  <si>
    <t>Tno.940</t>
  </si>
  <si>
    <t>Tno.883</t>
  </si>
  <si>
    <t>Tno.650</t>
  </si>
  <si>
    <t>Tno.889</t>
  </si>
  <si>
    <t>Tno.231</t>
  </si>
  <si>
    <t>Tno.780</t>
  </si>
  <si>
    <t>Tno.591</t>
  </si>
  <si>
    <t>Tno.667</t>
  </si>
  <si>
    <t>Tno.273</t>
  </si>
  <si>
    <t>Tno.645</t>
  </si>
  <si>
    <t>Tno.726</t>
  </si>
  <si>
    <t>Tno.234=8</t>
  </si>
  <si>
    <t xml:space="preserve"> Tno.212=7</t>
  </si>
  <si>
    <t xml:space="preserve"> Tno.145=6</t>
  </si>
  <si>
    <t xml:space="preserve"> Tno.110=4</t>
  </si>
  <si>
    <t xml:space="preserve"> Tno.552=4</t>
  </si>
  <si>
    <t>Tno.189=14</t>
  </si>
  <si>
    <t xml:space="preserve"> Tno.112=11</t>
  </si>
  <si>
    <t xml:space="preserve"> Tno.255=10</t>
  </si>
  <si>
    <t xml:space="preserve"> Tno.504=6</t>
  </si>
  <si>
    <t xml:space="preserve"> Tno.578=4</t>
  </si>
  <si>
    <t>Tno.115=3</t>
  </si>
  <si>
    <t xml:space="preserve"> Tno.178=2</t>
  </si>
  <si>
    <t xml:space="preserve"> Tno.233=2</t>
  </si>
  <si>
    <t xml:space="preserve"> Tno.201=2</t>
  </si>
  <si>
    <t xml:space="preserve"> Tno.555=2</t>
  </si>
  <si>
    <t>Tno.154=22</t>
  </si>
  <si>
    <t xml:space="preserve"> Tno.102=18</t>
  </si>
  <si>
    <t xml:space="preserve"> Tno.267=16</t>
  </si>
  <si>
    <t xml:space="preserve"> Tno.221=14</t>
  </si>
  <si>
    <t xml:space="preserve"> Tno.333=8</t>
  </si>
  <si>
    <t>Tno.254=6</t>
  </si>
  <si>
    <t xml:space="preserve"> Tno.145=5</t>
  </si>
  <si>
    <t xml:space="preserve"> Tno.210=4</t>
  </si>
  <si>
    <t xml:space="preserve"> Tno.321=4</t>
  </si>
  <si>
    <t xml:space="preserve"> Tno.112=3</t>
  </si>
  <si>
    <t>start
 (yyyy/mm/dd)</t>
    <phoneticPr fontId="4"/>
  </si>
  <si>
    <t>end
 (yyyy/mm/dd)</t>
    <phoneticPr fontId="4"/>
  </si>
  <si>
    <t>Total
 (pcs)</t>
    <phoneticPr fontId="4"/>
  </si>
  <si>
    <t>pass
 (pcs)</t>
    <phoneticPr fontId="4"/>
  </si>
  <si>
    <t>fail
 (pcs)</t>
    <phoneticPr fontId="4"/>
  </si>
  <si>
    <t>Target
 (%)</t>
    <phoneticPr fontId="4"/>
  </si>
  <si>
    <t>yield 
(%)</t>
    <phoneticPr fontId="4"/>
  </si>
  <si>
    <t>不良数量
 (pcs)</t>
    <phoneticPr fontId="4"/>
  </si>
  <si>
    <t>end 
(yyyy/mm/dd)</t>
    <phoneticPr fontId="4"/>
  </si>
  <si>
    <t>Total 
(pcs)</t>
    <phoneticPr fontId="4"/>
  </si>
  <si>
    <t>yield
 (%)</t>
    <phoneticPr fontId="4"/>
  </si>
  <si>
    <t>発生数量
 (pcs)</t>
    <phoneticPr fontId="4"/>
  </si>
  <si>
    <t>start 
(yyyy/mm/dd)</t>
    <phoneticPr fontId="4"/>
  </si>
  <si>
    <t>不良数量 (pcs)</t>
    <phoneticPr fontId="4"/>
  </si>
  <si>
    <t>fail 
(pcs)</t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</si>
</sst>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b/>
      <sz val="14"/>
      <color rgb="FF1F497D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1F497D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E4DFEC"/>
        <bgColor rgb="FFE4DFEC"/>
      </patternFill>
    </fill>
    <fill>
      <patternFill patternType="solid">
        <fgColor rgb="FFF2DCDB"/>
        <bgColor rgb="FFF2DCDB"/>
      </patternFill>
    </fill>
    <fill>
      <patternFill patternType="solid">
        <fgColor rgb="FFFDE9D9"/>
        <bgColor rgb="FFFDE9D9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/>
    <xf numFmtId="0" fontId="3" fillId="0" borderId="0" xfId="0" applyFont="1"/>
    <xf numFmtId="0" fontId="2" fillId="6" borderId="1" xfId="0" applyFont="1" applyFill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/>
    <xf numFmtId="10" fontId="0" fillId="0" borderId="1" xfId="0" applyNumberFormat="1" applyBorder="1"/>
    <xf numFmtId="0" fontId="2" fillId="3" borderId="1" xfId="0" applyFont="1" applyFill="1" applyBorder="1"/>
    <xf numFmtId="0" fontId="2" fillId="4" borderId="1" xfId="0" applyFont="1" applyFill="1" applyBorder="1"/>
    <xf numFmtId="0" fontId="0" fillId="5" borderId="1" xfId="0" applyFill="1" applyBorder="1"/>
    <xf numFmtId="0" fontId="2" fillId="3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2" fillId="4" borderId="1" xfId="0" applyFont="1" applyFill="1" applyBorder="1" applyAlignment="1">
      <alignment wrapText="1"/>
    </xf>
    <xf numFmtId="0" fontId="2" fillId="6" borderId="1" xfId="0" applyFont="1" applyFill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8"/>
  <sheetViews>
    <sheetView workbookViewId="0">
      <selection activeCell="H4" sqref="H4"/>
    </sheetView>
  </sheetViews>
  <sheetFormatPr defaultRowHeight="13.2" x14ac:dyDescent="0.2"/>
  <cols>
    <col min="1" max="1" width="11.88671875" customWidth="1"/>
    <col min="2" max="3" width="15.33203125" bestFit="1" customWidth="1"/>
    <col min="4" max="4" width="7" bestFit="1" customWidth="1"/>
    <col min="5" max="6" width="6.109375" bestFit="1" customWidth="1"/>
    <col min="7" max="7" width="7.6640625" bestFit="1" customWidth="1"/>
    <col min="8" max="8" width="7" bestFit="1" customWidth="1"/>
    <col min="9" max="17" width="6.77734375" bestFit="1" customWidth="1"/>
    <col min="18" max="18" width="7.88671875" bestFit="1" customWidth="1"/>
    <col min="19" max="19" width="11.33203125" bestFit="1" customWidth="1"/>
    <col min="20" max="22" width="11.88671875" bestFit="1" customWidth="1"/>
    <col min="23" max="23" width="10.88671875" bestFit="1" customWidth="1"/>
  </cols>
  <sheetData>
    <row r="1" spans="1:23" ht="16.2" x14ac:dyDescent="0.2">
      <c r="A1" s="1" t="s">
        <v>0</v>
      </c>
    </row>
    <row r="3" spans="1:23" ht="26.4" x14ac:dyDescent="0.2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3" t="s">
        <v>14</v>
      </c>
      <c r="O3" s="3" t="s">
        <v>15</v>
      </c>
      <c r="P3" s="3" t="s">
        <v>16</v>
      </c>
      <c r="Q3" s="3" t="s">
        <v>17</v>
      </c>
      <c r="R3" s="3" t="s">
        <v>18</v>
      </c>
      <c r="S3" s="18" t="s">
        <v>19</v>
      </c>
      <c r="T3" s="18"/>
      <c r="U3" s="18"/>
      <c r="V3" s="18"/>
      <c r="W3" s="18"/>
    </row>
    <row r="4" spans="1:23" x14ac:dyDescent="0.2">
      <c r="A4" s="4" t="str">
        <f>LOT_NO_aaa001!A3</f>
        <v>aaa001</v>
      </c>
      <c r="B4" s="4" t="str">
        <f>LOT_NO_aaa001!B3</f>
        <v>2026-01-01</v>
      </c>
      <c r="C4" s="4" t="str">
        <f>LOT_NO_aaa001!C3</f>
        <v>2026-01-03</v>
      </c>
      <c r="D4" s="4">
        <f>LOT_NO_aaa001!D3</f>
        <v>10000</v>
      </c>
      <c r="E4" s="4">
        <f>LOT_NO_aaa001!E3</f>
        <v>9924</v>
      </c>
      <c r="F4" s="4">
        <f>LOT_NO_aaa001!F3</f>
        <v>76</v>
      </c>
      <c r="G4" s="6">
        <f>LOT_NO_aaa001!G3</f>
        <v>0.85</v>
      </c>
      <c r="H4" s="6">
        <f>LOT_NO_aaa001!H3</f>
        <v>0.99239999999999995</v>
      </c>
      <c r="I4" s="5">
        <f>LOT_NO_aaa001!C7</f>
        <v>21</v>
      </c>
      <c r="J4" s="5">
        <f>LOT_NO_aaa001!C8</f>
        <v>22</v>
      </c>
      <c r="K4" s="5">
        <f>LOT_NO_aaa001!C9</f>
        <v>8</v>
      </c>
      <c r="L4" s="5">
        <f>LOT_NO_aaa001!C10</f>
        <v>0</v>
      </c>
      <c r="M4" s="5">
        <f>LOT_NO_aaa001!C11</f>
        <v>6</v>
      </c>
      <c r="N4" s="5">
        <f>LOT_NO_aaa001!C12</f>
        <v>7</v>
      </c>
      <c r="O4" s="5">
        <f>LOT_NO_aaa001!C13</f>
        <v>5</v>
      </c>
      <c r="P4" s="5">
        <f>LOT_NO_aaa001!C14</f>
        <v>0</v>
      </c>
      <c r="Q4" s="5">
        <f>LOT_NO_aaa001!C15</f>
        <v>7</v>
      </c>
      <c r="R4" s="5">
        <f>LOT_NO_aaa001!C16</f>
        <v>0</v>
      </c>
      <c r="S4" s="4" t="s">
        <v>225</v>
      </c>
      <c r="T4" s="4" t="s">
        <v>226</v>
      </c>
      <c r="U4" s="4" t="s">
        <v>227</v>
      </c>
      <c r="V4" s="4" t="s">
        <v>228</v>
      </c>
      <c r="W4" s="4" t="s">
        <v>229</v>
      </c>
    </row>
    <row r="5" spans="1:23" x14ac:dyDescent="0.2">
      <c r="A5" s="4" t="str">
        <f>LOT_NO_bbb002!A3</f>
        <v>bbb002</v>
      </c>
      <c r="B5" s="4" t="str">
        <f>LOT_NO_bbb002!B3</f>
        <v>2026-01-04</v>
      </c>
      <c r="C5" s="4" t="str">
        <f>LOT_NO_bbb002!C3</f>
        <v>2026-01-06</v>
      </c>
      <c r="D5" s="4">
        <f>LOT_NO_bbb002!D3</f>
        <v>10000</v>
      </c>
      <c r="E5" s="4">
        <f>LOT_NO_bbb002!E3</f>
        <v>9679</v>
      </c>
      <c r="F5" s="4">
        <f>LOT_NO_bbb002!F3</f>
        <v>321</v>
      </c>
      <c r="G5" s="6">
        <f>LOT_NO_bbb002!G3</f>
        <v>0.85</v>
      </c>
      <c r="H5" s="6">
        <f>LOT_NO_bbb002!H3</f>
        <v>0.96789999999999998</v>
      </c>
      <c r="I5" s="5">
        <f>LOT_NO_bbb002!$C7</f>
        <v>260</v>
      </c>
      <c r="J5" s="5">
        <f>LOT_NO_bbb002!$C8</f>
        <v>12</v>
      </c>
      <c r="K5" s="5">
        <f>LOT_NO_bbb002!$C9</f>
        <v>5</v>
      </c>
      <c r="L5" s="5">
        <f>LOT_NO_bbb002!$C10</f>
        <v>8</v>
      </c>
      <c r="M5" s="5">
        <f>LOT_NO_bbb002!$C11</f>
        <v>13</v>
      </c>
      <c r="N5" s="5">
        <f>LOT_NO_bbb002!$C12</f>
        <v>6</v>
      </c>
      <c r="O5" s="5">
        <f>LOT_NO_bbb002!$C13</f>
        <v>9</v>
      </c>
      <c r="P5" s="5">
        <f>LOT_NO_bbb002!$C14</f>
        <v>3</v>
      </c>
      <c r="Q5" s="5">
        <f>LOT_NO_bbb002!$C15</f>
        <v>3</v>
      </c>
      <c r="R5" s="5">
        <f>LOT_NO_bbb002!$C16</f>
        <v>2</v>
      </c>
      <c r="S5" s="4" t="s">
        <v>230</v>
      </c>
      <c r="T5" s="4" t="s">
        <v>231</v>
      </c>
      <c r="U5" s="4" t="s">
        <v>232</v>
      </c>
      <c r="V5" s="4" t="s">
        <v>233</v>
      </c>
      <c r="W5" s="4" t="s">
        <v>234</v>
      </c>
    </row>
    <row r="6" spans="1:23" x14ac:dyDescent="0.2">
      <c r="A6" s="4" t="str">
        <f>LOT_NO_ccc003!A3</f>
        <v>ccc003</v>
      </c>
      <c r="B6" s="4" t="str">
        <f>LOT_NO_ccc003!B3</f>
        <v>2026-01-07</v>
      </c>
      <c r="C6" s="4" t="str">
        <f>LOT_NO_ccc003!C3</f>
        <v>2026-01-09</v>
      </c>
      <c r="D6" s="4">
        <f>LOT_NO_ccc003!D3</f>
        <v>10000</v>
      </c>
      <c r="E6" s="4">
        <f>LOT_NO_ccc003!E3</f>
        <v>9964</v>
      </c>
      <c r="F6" s="4">
        <f>LOT_NO_ccc003!F3</f>
        <v>36</v>
      </c>
      <c r="G6" s="6">
        <f>LOT_NO_ccc003!G3</f>
        <v>0.85</v>
      </c>
      <c r="H6" s="6">
        <f>LOT_NO_ccc003!H3</f>
        <v>0.99639999999999995</v>
      </c>
      <c r="I6" s="5">
        <f>LOT_NO_ccc003!$C7</f>
        <v>8</v>
      </c>
      <c r="J6" s="5">
        <f>LOT_NO_ccc003!$C8</f>
        <v>4</v>
      </c>
      <c r="K6" s="5">
        <f>LOT_NO_ccc003!$C9</f>
        <v>6</v>
      </c>
      <c r="L6" s="5">
        <f>LOT_NO_ccc003!$C10</f>
        <v>4</v>
      </c>
      <c r="M6" s="5">
        <f>LOT_NO_ccc003!$C11</f>
        <v>3</v>
      </c>
      <c r="N6" s="5">
        <f>LOT_NO_ccc003!$C12</f>
        <v>2</v>
      </c>
      <c r="O6" s="5">
        <f>LOT_NO_ccc003!$C13</f>
        <v>2</v>
      </c>
      <c r="P6" s="5">
        <f>LOT_NO_ccc003!$C14</f>
        <v>3</v>
      </c>
      <c r="Q6" s="5">
        <f>LOT_NO_ccc003!$C15</f>
        <v>2</v>
      </c>
      <c r="R6" s="5">
        <f>LOT_NO_ccc003!$C16</f>
        <v>2</v>
      </c>
      <c r="S6" s="4" t="s">
        <v>235</v>
      </c>
      <c r="T6" s="4" t="s">
        <v>236</v>
      </c>
      <c r="U6" s="4" t="s">
        <v>237</v>
      </c>
      <c r="V6" s="4" t="s">
        <v>238</v>
      </c>
      <c r="W6" s="4" t="s">
        <v>239</v>
      </c>
    </row>
    <row r="7" spans="1:23" x14ac:dyDescent="0.2">
      <c r="A7" s="4" t="str">
        <f>LOT_NO_ddd004!A3</f>
        <v>ddd004</v>
      </c>
      <c r="B7" s="4" t="str">
        <f>LOT_NO_ddd004!B3</f>
        <v>2026-01-10</v>
      </c>
      <c r="C7" s="4" t="str">
        <f>LOT_NO_ddd004!C3</f>
        <v>2026-01-12</v>
      </c>
      <c r="D7" s="4">
        <f>LOT_NO_ddd004!D3</f>
        <v>10000</v>
      </c>
      <c r="E7" s="4">
        <f>LOT_NO_ddd004!E3</f>
        <v>9817</v>
      </c>
      <c r="F7" s="4">
        <f>LOT_NO_ddd004!F3</f>
        <v>183</v>
      </c>
      <c r="G7" s="6">
        <f>LOT_NO_ddd004!G3</f>
        <v>0.85</v>
      </c>
      <c r="H7" s="6">
        <f>LOT_NO_ddd004!H3</f>
        <v>0.98170000000000002</v>
      </c>
      <c r="I7" s="5">
        <f>LOT_NO_ddd004!$C7</f>
        <v>52</v>
      </c>
      <c r="J7" s="5">
        <f>LOT_NO_ddd004!$C8</f>
        <v>51</v>
      </c>
      <c r="K7" s="5">
        <f>LOT_NO_ddd004!$C9</f>
        <v>11</v>
      </c>
      <c r="L7" s="5">
        <f>LOT_NO_ddd004!$C10</f>
        <v>12</v>
      </c>
      <c r="M7" s="5">
        <f>LOT_NO_ddd004!$C11</f>
        <v>8</v>
      </c>
      <c r="N7" s="5">
        <f>LOT_NO_ddd004!$C12</f>
        <v>14</v>
      </c>
      <c r="O7" s="5">
        <f>LOT_NO_ddd004!$C13</f>
        <v>3</v>
      </c>
      <c r="P7" s="5">
        <f>LOT_NO_ddd004!$C14</f>
        <v>22</v>
      </c>
      <c r="Q7" s="5">
        <f>LOT_NO_ddd004!$C15</f>
        <v>10</v>
      </c>
      <c r="R7" s="5">
        <f>LOT_NO_ddd004!$C16</f>
        <v>0</v>
      </c>
      <c r="S7" s="4" t="s">
        <v>240</v>
      </c>
      <c r="T7" s="4" t="s">
        <v>241</v>
      </c>
      <c r="U7" s="4" t="s">
        <v>242</v>
      </c>
      <c r="V7" s="4" t="s">
        <v>243</v>
      </c>
      <c r="W7" s="4" t="s">
        <v>244</v>
      </c>
    </row>
    <row r="8" spans="1:23" x14ac:dyDescent="0.2">
      <c r="A8" s="4" t="str">
        <f>LOT_NO_eee005!A3</f>
        <v>eee005</v>
      </c>
      <c r="B8" s="4" t="str">
        <f>LOT_NO_eee005!B3</f>
        <v>2026-01-13</v>
      </c>
      <c r="C8" s="4" t="str">
        <f>LOT_NO_eee005!C3</f>
        <v>2026-01-15</v>
      </c>
      <c r="D8" s="4">
        <f>LOT_NO_eee005!D3</f>
        <v>10000</v>
      </c>
      <c r="E8" s="4">
        <f>LOT_NO_eee005!E3</f>
        <v>9944</v>
      </c>
      <c r="F8" s="4">
        <f>LOT_NO_eee005!F3</f>
        <v>56</v>
      </c>
      <c r="G8" s="6">
        <f>LOT_NO_eee005!G3</f>
        <v>0.85</v>
      </c>
      <c r="H8" s="6">
        <f>LOT_NO_eee005!H3</f>
        <v>0.99439999999999995</v>
      </c>
      <c r="I8" s="5">
        <f>LOT_NO_eee005!$C7</f>
        <v>15</v>
      </c>
      <c r="J8" s="5">
        <f>LOT_NO_eee005!$C8</f>
        <v>13</v>
      </c>
      <c r="K8" s="5">
        <f>LOT_NO_eee005!$C9</f>
        <v>12</v>
      </c>
      <c r="L8" s="5">
        <f>LOT_NO_eee005!$C10</f>
        <v>1</v>
      </c>
      <c r="M8" s="5">
        <f>LOT_NO_eee005!$C11</f>
        <v>3</v>
      </c>
      <c r="N8" s="5">
        <f>LOT_NO_eee005!$C12</f>
        <v>6</v>
      </c>
      <c r="O8" s="5">
        <f>LOT_NO_eee005!$C13</f>
        <v>2</v>
      </c>
      <c r="P8" s="5">
        <f>LOT_NO_eee005!$C14</f>
        <v>0</v>
      </c>
      <c r="Q8" s="5">
        <f>LOT_NO_eee005!$C15</f>
        <v>3</v>
      </c>
      <c r="R8" s="5">
        <f>LOT_NO_eee005!$C16</f>
        <v>1</v>
      </c>
      <c r="S8" s="4" t="s">
        <v>245</v>
      </c>
      <c r="T8" s="4" t="s">
        <v>246</v>
      </c>
      <c r="U8" s="4" t="s">
        <v>247</v>
      </c>
      <c r="V8" s="4" t="s">
        <v>248</v>
      </c>
      <c r="W8" s="4" t="s">
        <v>249</v>
      </c>
    </row>
  </sheetData>
  <mergeCells count="1">
    <mergeCell ref="S3:W3"/>
  </mergeCells>
  <phoneticPr fontId="4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9"/>
  <sheetViews>
    <sheetView workbookViewId="0">
      <selection activeCell="E3" sqref="E3:F3"/>
    </sheetView>
  </sheetViews>
  <sheetFormatPr defaultRowHeight="13.2" x14ac:dyDescent="0.2"/>
  <cols>
    <col min="1" max="1" width="17.33203125" customWidth="1"/>
    <col min="2" max="2" width="17.6640625" bestFit="1" customWidth="1"/>
    <col min="3" max="3" width="16.109375" bestFit="1" customWidth="1"/>
    <col min="4" max="4" width="13.109375" bestFit="1" customWidth="1"/>
    <col min="5" max="6" width="6.77734375" bestFit="1" customWidth="1"/>
    <col min="7" max="7" width="7.6640625" bestFit="1" customWidth="1"/>
    <col min="8" max="8" width="7" bestFit="1" customWidth="1"/>
  </cols>
  <sheetData>
    <row r="1" spans="1:8" ht="16.2" x14ac:dyDescent="0.2">
      <c r="A1" s="1" t="s">
        <v>35</v>
      </c>
    </row>
    <row r="2" spans="1:8" ht="26.4" x14ac:dyDescent="0.2">
      <c r="A2" s="11" t="s">
        <v>1</v>
      </c>
      <c r="B2" s="12" t="s">
        <v>250</v>
      </c>
      <c r="C2" s="12" t="s">
        <v>251</v>
      </c>
      <c r="D2" s="12" t="s">
        <v>252</v>
      </c>
      <c r="E2" s="12" t="s">
        <v>253</v>
      </c>
      <c r="F2" s="12" t="s">
        <v>254</v>
      </c>
      <c r="G2" s="12" t="s">
        <v>255</v>
      </c>
      <c r="H2" s="12" t="s">
        <v>256</v>
      </c>
    </row>
    <row r="3" spans="1:8" x14ac:dyDescent="0.2">
      <c r="A3" s="13" t="s">
        <v>20</v>
      </c>
      <c r="B3" s="13" t="s">
        <v>21</v>
      </c>
      <c r="C3" s="13" t="s">
        <v>22</v>
      </c>
      <c r="D3" s="13">
        <v>10000</v>
      </c>
      <c r="E3" s="13">
        <f>D3-F3</f>
        <v>9924</v>
      </c>
      <c r="F3" s="13">
        <f>SUM(C7:C16)</f>
        <v>76</v>
      </c>
      <c r="G3" s="14">
        <v>0.85</v>
      </c>
      <c r="H3" s="14">
        <f>E3/D3</f>
        <v>0.99239999999999995</v>
      </c>
    </row>
    <row r="5" spans="1:8" x14ac:dyDescent="0.2">
      <c r="A5" s="2" t="s">
        <v>36</v>
      </c>
    </row>
    <row r="6" spans="1:8" ht="26.4" x14ac:dyDescent="0.2">
      <c r="A6" s="7" t="s">
        <v>37</v>
      </c>
      <c r="B6" s="7" t="s">
        <v>38</v>
      </c>
      <c r="C6" s="10" t="s">
        <v>257</v>
      </c>
    </row>
    <row r="7" spans="1:8" x14ac:dyDescent="0.2">
      <c r="A7" s="4" t="s">
        <v>9</v>
      </c>
      <c r="B7" s="4" t="s">
        <v>40</v>
      </c>
      <c r="C7" s="4">
        <v>21</v>
      </c>
    </row>
    <row r="8" spans="1:8" x14ac:dyDescent="0.2">
      <c r="A8" s="4" t="s">
        <v>10</v>
      </c>
      <c r="B8" s="4" t="s">
        <v>41</v>
      </c>
      <c r="C8" s="4">
        <v>22</v>
      </c>
    </row>
    <row r="9" spans="1:8" x14ac:dyDescent="0.2">
      <c r="A9" s="4" t="s">
        <v>11</v>
      </c>
      <c r="B9" s="4" t="s">
        <v>42</v>
      </c>
      <c r="C9" s="4">
        <v>8</v>
      </c>
    </row>
    <row r="10" spans="1:8" x14ac:dyDescent="0.2">
      <c r="A10" s="4" t="s">
        <v>12</v>
      </c>
      <c r="B10" s="4" t="s">
        <v>43</v>
      </c>
      <c r="C10" s="4">
        <v>0</v>
      </c>
    </row>
    <row r="11" spans="1:8" x14ac:dyDescent="0.2">
      <c r="A11" s="4" t="s">
        <v>13</v>
      </c>
      <c r="B11" s="4" t="s">
        <v>44</v>
      </c>
      <c r="C11" s="4">
        <v>6</v>
      </c>
    </row>
    <row r="12" spans="1:8" x14ac:dyDescent="0.2">
      <c r="A12" s="4" t="s">
        <v>14</v>
      </c>
      <c r="B12" s="4" t="s">
        <v>45</v>
      </c>
      <c r="C12" s="4">
        <v>7</v>
      </c>
    </row>
    <row r="13" spans="1:8" x14ac:dyDescent="0.2">
      <c r="A13" s="4" t="s">
        <v>15</v>
      </c>
      <c r="B13" s="4" t="s">
        <v>46</v>
      </c>
      <c r="C13" s="4">
        <v>5</v>
      </c>
    </row>
    <row r="14" spans="1:8" x14ac:dyDescent="0.2">
      <c r="A14" s="4" t="s">
        <v>16</v>
      </c>
      <c r="B14" s="4" t="s">
        <v>47</v>
      </c>
      <c r="C14" s="4">
        <v>0</v>
      </c>
    </row>
    <row r="15" spans="1:8" x14ac:dyDescent="0.2">
      <c r="A15" s="4" t="s">
        <v>17</v>
      </c>
      <c r="B15" s="4" t="s">
        <v>48</v>
      </c>
      <c r="C15" s="4">
        <v>7</v>
      </c>
    </row>
    <row r="16" spans="1:8" x14ac:dyDescent="0.2">
      <c r="A16" s="4" t="s">
        <v>18</v>
      </c>
      <c r="B16" s="4" t="s">
        <v>49</v>
      </c>
      <c r="C16" s="4">
        <v>0</v>
      </c>
    </row>
    <row r="18" spans="1:4" x14ac:dyDescent="0.2">
      <c r="A18" s="2" t="s">
        <v>50</v>
      </c>
    </row>
    <row r="19" spans="1:4" x14ac:dyDescent="0.2">
      <c r="A19" s="8" t="s">
        <v>51</v>
      </c>
      <c r="B19" s="8" t="s">
        <v>52</v>
      </c>
      <c r="C19" s="8" t="s">
        <v>53</v>
      </c>
      <c r="D19" s="8" t="s">
        <v>54</v>
      </c>
    </row>
    <row r="20" spans="1:4" x14ac:dyDescent="0.2">
      <c r="A20" s="9" t="s">
        <v>55</v>
      </c>
      <c r="B20" s="9" t="s">
        <v>56</v>
      </c>
      <c r="C20" s="9">
        <v>8</v>
      </c>
      <c r="D20" s="9" t="s">
        <v>10</v>
      </c>
    </row>
    <row r="21" spans="1:4" x14ac:dyDescent="0.2">
      <c r="A21" s="9" t="s">
        <v>57</v>
      </c>
      <c r="B21" s="9" t="s">
        <v>58</v>
      </c>
      <c r="C21" s="9">
        <v>7</v>
      </c>
      <c r="D21" s="9" t="s">
        <v>10</v>
      </c>
    </row>
    <row r="22" spans="1:4" x14ac:dyDescent="0.2">
      <c r="A22" s="9" t="s">
        <v>59</v>
      </c>
      <c r="B22" s="9" t="s">
        <v>60</v>
      </c>
      <c r="C22" s="9">
        <v>6</v>
      </c>
      <c r="D22" s="9" t="s">
        <v>9</v>
      </c>
    </row>
    <row r="23" spans="1:4" x14ac:dyDescent="0.2">
      <c r="A23" s="9" t="s">
        <v>61</v>
      </c>
      <c r="B23" s="9" t="s">
        <v>62</v>
      </c>
      <c r="C23" s="9">
        <v>4</v>
      </c>
      <c r="D23" s="9" t="s">
        <v>9</v>
      </c>
    </row>
    <row r="24" spans="1:4" x14ac:dyDescent="0.2">
      <c r="A24" s="9" t="s">
        <v>63</v>
      </c>
      <c r="B24" s="9" t="s">
        <v>64</v>
      </c>
      <c r="C24" s="9">
        <v>4</v>
      </c>
      <c r="D24" s="9" t="s">
        <v>13</v>
      </c>
    </row>
    <row r="25" spans="1:4" x14ac:dyDescent="0.2">
      <c r="A25" s="4" t="s">
        <v>65</v>
      </c>
      <c r="B25" s="4" t="s">
        <v>66</v>
      </c>
      <c r="C25" s="4">
        <v>3</v>
      </c>
      <c r="D25" s="4" t="s">
        <v>10</v>
      </c>
    </row>
    <row r="26" spans="1:4" x14ac:dyDescent="0.2">
      <c r="A26" s="4" t="s">
        <v>67</v>
      </c>
      <c r="B26" s="4" t="s">
        <v>68</v>
      </c>
      <c r="C26" s="4">
        <v>3</v>
      </c>
      <c r="D26" s="4" t="s">
        <v>9</v>
      </c>
    </row>
    <row r="27" spans="1:4" x14ac:dyDescent="0.2">
      <c r="A27" s="4" t="s">
        <v>69</v>
      </c>
      <c r="B27" s="4" t="s">
        <v>70</v>
      </c>
      <c r="C27" s="4">
        <v>3</v>
      </c>
      <c r="D27" s="4" t="s">
        <v>17</v>
      </c>
    </row>
    <row r="28" spans="1:4" x14ac:dyDescent="0.2">
      <c r="A28" s="4" t="s">
        <v>71</v>
      </c>
      <c r="B28" s="4" t="s">
        <v>72</v>
      </c>
      <c r="C28" s="4">
        <v>3</v>
      </c>
      <c r="D28" s="4" t="s">
        <v>11</v>
      </c>
    </row>
    <row r="29" spans="1:4" x14ac:dyDescent="0.2">
      <c r="A29" s="4" t="s">
        <v>73</v>
      </c>
      <c r="B29" s="4" t="s">
        <v>74</v>
      </c>
      <c r="C29" s="4">
        <v>3</v>
      </c>
      <c r="D29" s="4" t="s">
        <v>17</v>
      </c>
    </row>
    <row r="30" spans="1:4" x14ac:dyDescent="0.2">
      <c r="A30" s="4" t="s">
        <v>75</v>
      </c>
      <c r="B30" s="4" t="s">
        <v>76</v>
      </c>
      <c r="C30" s="4">
        <v>3</v>
      </c>
      <c r="D30" s="4" t="s">
        <v>14</v>
      </c>
    </row>
    <row r="31" spans="1:4" x14ac:dyDescent="0.2">
      <c r="A31" s="4" t="s">
        <v>77</v>
      </c>
      <c r="B31" s="4" t="s">
        <v>78</v>
      </c>
      <c r="C31" s="4">
        <v>2</v>
      </c>
      <c r="D31" s="4" t="s">
        <v>11</v>
      </c>
    </row>
    <row r="32" spans="1:4" x14ac:dyDescent="0.2">
      <c r="A32" s="4" t="s">
        <v>79</v>
      </c>
      <c r="B32" s="4" t="s">
        <v>80</v>
      </c>
      <c r="C32" s="4">
        <v>2</v>
      </c>
      <c r="D32" s="4" t="s">
        <v>10</v>
      </c>
    </row>
    <row r="33" spans="1:4" x14ac:dyDescent="0.2">
      <c r="A33" s="4" t="s">
        <v>81</v>
      </c>
      <c r="B33" s="4" t="s">
        <v>82</v>
      </c>
      <c r="C33" s="4">
        <v>2</v>
      </c>
      <c r="D33" s="4" t="s">
        <v>10</v>
      </c>
    </row>
    <row r="34" spans="1:4" x14ac:dyDescent="0.2">
      <c r="A34" s="4" t="s">
        <v>83</v>
      </c>
      <c r="B34" s="4" t="s">
        <v>84</v>
      </c>
      <c r="C34" s="4">
        <v>2</v>
      </c>
      <c r="D34" s="4" t="s">
        <v>9</v>
      </c>
    </row>
    <row r="35" spans="1:4" x14ac:dyDescent="0.2">
      <c r="A35" s="4" t="s">
        <v>85</v>
      </c>
      <c r="B35" s="4" t="s">
        <v>86</v>
      </c>
      <c r="C35" s="4">
        <v>2</v>
      </c>
      <c r="D35" s="4" t="s">
        <v>15</v>
      </c>
    </row>
    <row r="36" spans="1:4" x14ac:dyDescent="0.2">
      <c r="A36" s="4" t="s">
        <v>87</v>
      </c>
      <c r="B36" s="4" t="s">
        <v>88</v>
      </c>
      <c r="C36" s="4">
        <v>2</v>
      </c>
      <c r="D36" s="4" t="s">
        <v>13</v>
      </c>
    </row>
    <row r="37" spans="1:4" x14ac:dyDescent="0.2">
      <c r="A37" s="4" t="s">
        <v>89</v>
      </c>
      <c r="B37" s="4" t="s">
        <v>90</v>
      </c>
      <c r="C37" s="4">
        <v>2</v>
      </c>
      <c r="D37" s="4" t="s">
        <v>9</v>
      </c>
    </row>
    <row r="38" spans="1:4" x14ac:dyDescent="0.2">
      <c r="A38" s="4" t="s">
        <v>91</v>
      </c>
      <c r="B38" s="4" t="s">
        <v>92</v>
      </c>
      <c r="C38" s="4">
        <v>2</v>
      </c>
      <c r="D38" s="4" t="s">
        <v>14</v>
      </c>
    </row>
    <row r="39" spans="1:4" x14ac:dyDescent="0.2">
      <c r="A39" s="4" t="s">
        <v>93</v>
      </c>
      <c r="B39" s="4" t="s">
        <v>94</v>
      </c>
      <c r="C39" s="4">
        <v>2</v>
      </c>
      <c r="D39" s="4" t="s">
        <v>9</v>
      </c>
    </row>
    <row r="40" spans="1:4" x14ac:dyDescent="0.2">
      <c r="A40" s="4" t="s">
        <v>95</v>
      </c>
      <c r="B40" s="4" t="s">
        <v>96</v>
      </c>
      <c r="C40" s="4">
        <v>2</v>
      </c>
      <c r="D40" s="4" t="s">
        <v>14</v>
      </c>
    </row>
    <row r="41" spans="1:4" x14ac:dyDescent="0.2">
      <c r="A41" s="4" t="s">
        <v>97</v>
      </c>
      <c r="B41" s="4" t="s">
        <v>98</v>
      </c>
      <c r="C41" s="4">
        <v>1</v>
      </c>
      <c r="D41" s="4" t="s">
        <v>15</v>
      </c>
    </row>
    <row r="42" spans="1:4" x14ac:dyDescent="0.2">
      <c r="A42" s="4" t="s">
        <v>99</v>
      </c>
      <c r="B42" s="4" t="s">
        <v>100</v>
      </c>
      <c r="C42" s="4">
        <v>1</v>
      </c>
      <c r="D42" s="4" t="s">
        <v>11</v>
      </c>
    </row>
    <row r="43" spans="1:4" x14ac:dyDescent="0.2">
      <c r="A43" s="4" t="s">
        <v>101</v>
      </c>
      <c r="B43" s="4" t="s">
        <v>102</v>
      </c>
      <c r="C43" s="4">
        <v>1</v>
      </c>
      <c r="D43" s="4" t="s">
        <v>15</v>
      </c>
    </row>
    <row r="44" spans="1:4" x14ac:dyDescent="0.2">
      <c r="A44" s="4" t="s">
        <v>103</v>
      </c>
      <c r="B44" s="4" t="s">
        <v>104</v>
      </c>
      <c r="C44" s="4">
        <v>1</v>
      </c>
      <c r="D44" s="4" t="s">
        <v>17</v>
      </c>
    </row>
    <row r="45" spans="1:4" x14ac:dyDescent="0.2">
      <c r="A45" s="4" t="s">
        <v>105</v>
      </c>
      <c r="B45" s="4" t="s">
        <v>106</v>
      </c>
      <c r="C45" s="4">
        <v>1</v>
      </c>
      <c r="D45" s="4" t="s">
        <v>9</v>
      </c>
    </row>
    <row r="46" spans="1:4" x14ac:dyDescent="0.2">
      <c r="A46" s="4" t="s">
        <v>107</v>
      </c>
      <c r="B46" s="4" t="s">
        <v>108</v>
      </c>
      <c r="C46" s="4">
        <v>1</v>
      </c>
      <c r="D46" s="4" t="s">
        <v>9</v>
      </c>
    </row>
    <row r="47" spans="1:4" x14ac:dyDescent="0.2">
      <c r="A47" s="4" t="s">
        <v>109</v>
      </c>
      <c r="B47" s="4" t="s">
        <v>110</v>
      </c>
      <c r="C47" s="4">
        <v>1</v>
      </c>
      <c r="D47" s="4" t="s">
        <v>11</v>
      </c>
    </row>
    <row r="48" spans="1:4" x14ac:dyDescent="0.2">
      <c r="A48" s="4" t="s">
        <v>111</v>
      </c>
      <c r="B48" s="4" t="s">
        <v>112</v>
      </c>
      <c r="C48" s="4">
        <v>1</v>
      </c>
      <c r="D48" s="4" t="s">
        <v>11</v>
      </c>
    </row>
    <row r="49" spans="1:4" x14ac:dyDescent="0.2">
      <c r="A49" s="4" t="s">
        <v>113</v>
      </c>
      <c r="B49" s="4" t="s">
        <v>114</v>
      </c>
      <c r="C49" s="4">
        <v>1</v>
      </c>
      <c r="D49" s="4" t="s">
        <v>15</v>
      </c>
    </row>
  </sheetData>
  <phoneticPr fontId="4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49"/>
  <sheetViews>
    <sheetView tabSelected="1" workbookViewId="0">
      <selection activeCell="C7" sqref="C7"/>
    </sheetView>
  </sheetViews>
  <sheetFormatPr defaultRowHeight="13.2" x14ac:dyDescent="0.2"/>
  <cols>
    <col min="1" max="1" width="23" customWidth="1"/>
    <col min="2" max="2" width="17.6640625" bestFit="1" customWidth="1"/>
    <col min="3" max="3" width="15.6640625" bestFit="1" customWidth="1"/>
    <col min="4" max="4" width="13.109375" bestFit="1" customWidth="1"/>
    <col min="5" max="6" width="6.77734375" bestFit="1" customWidth="1"/>
    <col min="7" max="7" width="7.6640625" bestFit="1" customWidth="1"/>
    <col min="8" max="8" width="7" bestFit="1" customWidth="1"/>
  </cols>
  <sheetData>
    <row r="1" spans="1:8" ht="16.2" x14ac:dyDescent="0.2">
      <c r="A1" s="1" t="s">
        <v>115</v>
      </c>
    </row>
    <row r="2" spans="1:8" ht="26.4" x14ac:dyDescent="0.2">
      <c r="A2" s="11" t="s">
        <v>1</v>
      </c>
      <c r="B2" s="12" t="s">
        <v>250</v>
      </c>
      <c r="C2" s="12" t="s">
        <v>258</v>
      </c>
      <c r="D2" s="12" t="s">
        <v>259</v>
      </c>
      <c r="E2" s="12" t="s">
        <v>253</v>
      </c>
      <c r="F2" s="12" t="s">
        <v>254</v>
      </c>
      <c r="G2" s="12" t="s">
        <v>255</v>
      </c>
      <c r="H2" s="12" t="s">
        <v>260</v>
      </c>
    </row>
    <row r="3" spans="1:8" x14ac:dyDescent="0.2">
      <c r="A3" s="13" t="s">
        <v>23</v>
      </c>
      <c r="B3" s="13" t="s">
        <v>24</v>
      </c>
      <c r="C3" s="13" t="s">
        <v>25</v>
      </c>
      <c r="D3" s="13">
        <v>10000</v>
      </c>
      <c r="E3" s="13">
        <f>D3-F3</f>
        <v>9679</v>
      </c>
      <c r="F3" s="13">
        <f>SUM(C7:C16)</f>
        <v>321</v>
      </c>
      <c r="G3" s="14">
        <v>0.85</v>
      </c>
      <c r="H3" s="14">
        <f>E3/D3</f>
        <v>0.96789999999999998</v>
      </c>
    </row>
    <row r="5" spans="1:8" x14ac:dyDescent="0.2">
      <c r="A5" s="2" t="s">
        <v>36</v>
      </c>
    </row>
    <row r="6" spans="1:8" x14ac:dyDescent="0.2">
      <c r="A6" s="15" t="s">
        <v>37</v>
      </c>
      <c r="B6" s="15" t="s">
        <v>38</v>
      </c>
      <c r="C6" s="16" t="s">
        <v>263</v>
      </c>
    </row>
    <row r="7" spans="1:8" x14ac:dyDescent="0.2">
      <c r="A7" s="4" t="s">
        <v>9</v>
      </c>
      <c r="B7" s="4" t="s">
        <v>40</v>
      </c>
      <c r="C7" s="4">
        <v>260</v>
      </c>
    </row>
    <row r="8" spans="1:8" x14ac:dyDescent="0.2">
      <c r="A8" s="4" t="s">
        <v>10</v>
      </c>
      <c r="B8" s="4" t="s">
        <v>41</v>
      </c>
      <c r="C8" s="4">
        <v>12</v>
      </c>
    </row>
    <row r="9" spans="1:8" x14ac:dyDescent="0.2">
      <c r="A9" s="4" t="s">
        <v>11</v>
      </c>
      <c r="B9" s="4" t="s">
        <v>42</v>
      </c>
      <c r="C9" s="4">
        <v>5</v>
      </c>
    </row>
    <row r="10" spans="1:8" x14ac:dyDescent="0.2">
      <c r="A10" s="4" t="s">
        <v>12</v>
      </c>
      <c r="B10" s="4" t="s">
        <v>43</v>
      </c>
      <c r="C10" s="4">
        <v>8</v>
      </c>
    </row>
    <row r="11" spans="1:8" x14ac:dyDescent="0.2">
      <c r="A11" s="4" t="s">
        <v>13</v>
      </c>
      <c r="B11" s="4" t="s">
        <v>44</v>
      </c>
      <c r="C11" s="4">
        <v>13</v>
      </c>
    </row>
    <row r="12" spans="1:8" x14ac:dyDescent="0.2">
      <c r="A12" s="4" t="s">
        <v>14</v>
      </c>
      <c r="B12" s="4" t="s">
        <v>45</v>
      </c>
      <c r="C12" s="4">
        <v>6</v>
      </c>
    </row>
    <row r="13" spans="1:8" x14ac:dyDescent="0.2">
      <c r="A13" s="4" t="s">
        <v>15</v>
      </c>
      <c r="B13" s="4" t="s">
        <v>46</v>
      </c>
      <c r="C13" s="4">
        <v>9</v>
      </c>
    </row>
    <row r="14" spans="1:8" x14ac:dyDescent="0.2">
      <c r="A14" s="4" t="s">
        <v>16</v>
      </c>
      <c r="B14" s="4" t="s">
        <v>47</v>
      </c>
      <c r="C14" s="4">
        <v>3</v>
      </c>
    </row>
    <row r="15" spans="1:8" x14ac:dyDescent="0.2">
      <c r="A15" s="4" t="s">
        <v>17</v>
      </c>
      <c r="B15" s="4" t="s">
        <v>48</v>
      </c>
      <c r="C15" s="4">
        <v>3</v>
      </c>
    </row>
    <row r="16" spans="1:8" x14ac:dyDescent="0.2">
      <c r="A16" s="4" t="s">
        <v>18</v>
      </c>
      <c r="B16" s="4" t="s">
        <v>49</v>
      </c>
      <c r="C16" s="4">
        <v>2</v>
      </c>
    </row>
    <row r="18" spans="1:4" x14ac:dyDescent="0.2">
      <c r="A18" s="2" t="s">
        <v>50</v>
      </c>
    </row>
    <row r="19" spans="1:4" ht="26.4" x14ac:dyDescent="0.2">
      <c r="A19" s="8" t="s">
        <v>51</v>
      </c>
      <c r="B19" s="8" t="s">
        <v>52</v>
      </c>
      <c r="C19" s="17" t="s">
        <v>261</v>
      </c>
      <c r="D19" s="8" t="s">
        <v>54</v>
      </c>
    </row>
    <row r="20" spans="1:4" x14ac:dyDescent="0.2">
      <c r="A20" s="9" t="s">
        <v>55</v>
      </c>
      <c r="B20" s="9" t="s">
        <v>116</v>
      </c>
      <c r="C20" s="9">
        <v>140</v>
      </c>
      <c r="D20" s="9" t="s">
        <v>9</v>
      </c>
    </row>
    <row r="21" spans="1:4" x14ac:dyDescent="0.2">
      <c r="A21" s="9" t="s">
        <v>57</v>
      </c>
      <c r="B21" s="9" t="s">
        <v>117</v>
      </c>
      <c r="C21" s="9">
        <v>110</v>
      </c>
      <c r="D21" s="9" t="s">
        <v>9</v>
      </c>
    </row>
    <row r="22" spans="1:4" x14ac:dyDescent="0.2">
      <c r="A22" s="9" t="s">
        <v>59</v>
      </c>
      <c r="B22" s="9" t="s">
        <v>118</v>
      </c>
      <c r="C22" s="9">
        <v>10</v>
      </c>
      <c r="D22" s="9" t="s">
        <v>10</v>
      </c>
    </row>
    <row r="23" spans="1:4" x14ac:dyDescent="0.2">
      <c r="A23" s="9" t="s">
        <v>61</v>
      </c>
      <c r="B23" s="9" t="s">
        <v>119</v>
      </c>
      <c r="C23" s="9">
        <v>6</v>
      </c>
      <c r="D23" s="9" t="s">
        <v>13</v>
      </c>
    </row>
    <row r="24" spans="1:4" x14ac:dyDescent="0.2">
      <c r="A24" s="9" t="s">
        <v>63</v>
      </c>
      <c r="B24" s="9" t="s">
        <v>120</v>
      </c>
      <c r="C24" s="9">
        <v>4</v>
      </c>
      <c r="D24" s="9" t="s">
        <v>13</v>
      </c>
    </row>
    <row r="25" spans="1:4" x14ac:dyDescent="0.2">
      <c r="A25" s="4" t="s">
        <v>65</v>
      </c>
      <c r="B25" s="4" t="s">
        <v>121</v>
      </c>
      <c r="C25" s="4">
        <v>3</v>
      </c>
      <c r="D25" s="4" t="s">
        <v>13</v>
      </c>
    </row>
    <row r="26" spans="1:4" x14ac:dyDescent="0.2">
      <c r="A26" s="4" t="s">
        <v>67</v>
      </c>
      <c r="B26" s="4" t="s">
        <v>122</v>
      </c>
      <c r="C26" s="4">
        <v>3</v>
      </c>
      <c r="D26" s="4" t="s">
        <v>12</v>
      </c>
    </row>
    <row r="27" spans="1:4" x14ac:dyDescent="0.2">
      <c r="A27" s="4" t="s">
        <v>69</v>
      </c>
      <c r="B27" s="4" t="s">
        <v>123</v>
      </c>
      <c r="C27" s="4">
        <v>3</v>
      </c>
      <c r="D27" s="4" t="s">
        <v>15</v>
      </c>
    </row>
    <row r="28" spans="1:4" x14ac:dyDescent="0.2">
      <c r="A28" s="4" t="s">
        <v>71</v>
      </c>
      <c r="B28" s="4" t="s">
        <v>124</v>
      </c>
      <c r="C28" s="4">
        <v>3</v>
      </c>
      <c r="D28" s="4" t="s">
        <v>12</v>
      </c>
    </row>
    <row r="29" spans="1:4" x14ac:dyDescent="0.2">
      <c r="A29" s="4" t="s">
        <v>73</v>
      </c>
      <c r="B29" s="4" t="s">
        <v>125</v>
      </c>
      <c r="C29" s="4">
        <v>3</v>
      </c>
      <c r="D29" s="4" t="s">
        <v>14</v>
      </c>
    </row>
    <row r="30" spans="1:4" x14ac:dyDescent="0.2">
      <c r="A30" s="4" t="s">
        <v>75</v>
      </c>
      <c r="B30" s="4" t="s">
        <v>126</v>
      </c>
      <c r="C30" s="4">
        <v>3</v>
      </c>
      <c r="D30" s="4" t="s">
        <v>16</v>
      </c>
    </row>
    <row r="31" spans="1:4" x14ac:dyDescent="0.2">
      <c r="A31" s="4" t="s">
        <v>77</v>
      </c>
      <c r="B31" s="4" t="s">
        <v>127</v>
      </c>
      <c r="C31" s="4">
        <v>3</v>
      </c>
      <c r="D31" s="4" t="s">
        <v>9</v>
      </c>
    </row>
    <row r="32" spans="1:4" x14ac:dyDescent="0.2">
      <c r="A32" s="4" t="s">
        <v>79</v>
      </c>
      <c r="B32" s="4" t="s">
        <v>128</v>
      </c>
      <c r="C32" s="4">
        <v>3</v>
      </c>
      <c r="D32" s="4" t="s">
        <v>15</v>
      </c>
    </row>
    <row r="33" spans="1:4" x14ac:dyDescent="0.2">
      <c r="A33" s="4" t="s">
        <v>81</v>
      </c>
      <c r="B33" s="4" t="s">
        <v>129</v>
      </c>
      <c r="C33" s="4">
        <v>3</v>
      </c>
      <c r="D33" s="4" t="s">
        <v>11</v>
      </c>
    </row>
    <row r="34" spans="1:4" x14ac:dyDescent="0.2">
      <c r="A34" s="4" t="s">
        <v>83</v>
      </c>
      <c r="B34" s="4" t="s">
        <v>130</v>
      </c>
      <c r="C34" s="4">
        <v>2</v>
      </c>
      <c r="D34" s="4" t="s">
        <v>18</v>
      </c>
    </row>
    <row r="35" spans="1:4" x14ac:dyDescent="0.2">
      <c r="A35" s="4" t="s">
        <v>85</v>
      </c>
      <c r="B35" s="4" t="s">
        <v>60</v>
      </c>
      <c r="C35" s="4">
        <v>2</v>
      </c>
      <c r="D35" s="4" t="s">
        <v>9</v>
      </c>
    </row>
    <row r="36" spans="1:4" x14ac:dyDescent="0.2">
      <c r="A36" s="4" t="s">
        <v>87</v>
      </c>
      <c r="B36" s="4" t="s">
        <v>131</v>
      </c>
      <c r="C36" s="4">
        <v>2</v>
      </c>
      <c r="D36" s="4" t="s">
        <v>17</v>
      </c>
    </row>
    <row r="37" spans="1:4" x14ac:dyDescent="0.2">
      <c r="A37" s="4" t="s">
        <v>89</v>
      </c>
      <c r="B37" s="4" t="s">
        <v>132</v>
      </c>
      <c r="C37" s="4">
        <v>2</v>
      </c>
      <c r="D37" s="4" t="s">
        <v>14</v>
      </c>
    </row>
    <row r="38" spans="1:4" x14ac:dyDescent="0.2">
      <c r="A38" s="4" t="s">
        <v>91</v>
      </c>
      <c r="B38" s="4" t="s">
        <v>133</v>
      </c>
      <c r="C38" s="4">
        <v>2</v>
      </c>
      <c r="D38" s="4" t="s">
        <v>12</v>
      </c>
    </row>
    <row r="39" spans="1:4" x14ac:dyDescent="0.2">
      <c r="A39" s="4" t="s">
        <v>93</v>
      </c>
      <c r="B39" s="4" t="s">
        <v>134</v>
      </c>
      <c r="C39" s="4">
        <v>2</v>
      </c>
      <c r="D39" s="4" t="s">
        <v>9</v>
      </c>
    </row>
    <row r="40" spans="1:4" x14ac:dyDescent="0.2">
      <c r="A40" s="4" t="s">
        <v>95</v>
      </c>
      <c r="B40" s="4" t="s">
        <v>135</v>
      </c>
      <c r="C40" s="4">
        <v>2</v>
      </c>
      <c r="D40" s="4" t="s">
        <v>15</v>
      </c>
    </row>
    <row r="41" spans="1:4" x14ac:dyDescent="0.2">
      <c r="A41" s="4" t="s">
        <v>97</v>
      </c>
      <c r="B41" s="4" t="s">
        <v>136</v>
      </c>
      <c r="C41" s="4">
        <v>2</v>
      </c>
      <c r="D41" s="4" t="s">
        <v>9</v>
      </c>
    </row>
    <row r="42" spans="1:4" x14ac:dyDescent="0.2">
      <c r="A42" s="4" t="s">
        <v>99</v>
      </c>
      <c r="B42" s="4" t="s">
        <v>137</v>
      </c>
      <c r="C42" s="4">
        <v>1</v>
      </c>
      <c r="D42" s="4" t="s">
        <v>15</v>
      </c>
    </row>
    <row r="43" spans="1:4" x14ac:dyDescent="0.2">
      <c r="A43" s="4" t="s">
        <v>101</v>
      </c>
      <c r="B43" s="4" t="s">
        <v>138</v>
      </c>
      <c r="C43" s="4">
        <v>1</v>
      </c>
      <c r="D43" s="4" t="s">
        <v>11</v>
      </c>
    </row>
    <row r="44" spans="1:4" x14ac:dyDescent="0.2">
      <c r="A44" s="4" t="s">
        <v>103</v>
      </c>
      <c r="B44" s="4" t="s">
        <v>139</v>
      </c>
      <c r="C44" s="4">
        <v>1</v>
      </c>
      <c r="D44" s="4" t="s">
        <v>10</v>
      </c>
    </row>
    <row r="45" spans="1:4" x14ac:dyDescent="0.2">
      <c r="A45" s="4" t="s">
        <v>105</v>
      </c>
      <c r="B45" s="4" t="s">
        <v>140</v>
      </c>
      <c r="C45" s="4">
        <v>1</v>
      </c>
      <c r="D45" s="4" t="s">
        <v>14</v>
      </c>
    </row>
    <row r="46" spans="1:4" x14ac:dyDescent="0.2">
      <c r="A46" s="4" t="s">
        <v>107</v>
      </c>
      <c r="B46" s="4" t="s">
        <v>141</v>
      </c>
      <c r="C46" s="4">
        <v>1</v>
      </c>
      <c r="D46" s="4" t="s">
        <v>10</v>
      </c>
    </row>
    <row r="47" spans="1:4" x14ac:dyDescent="0.2">
      <c r="A47" s="4" t="s">
        <v>109</v>
      </c>
      <c r="B47" s="4" t="s">
        <v>142</v>
      </c>
      <c r="C47" s="4">
        <v>1</v>
      </c>
      <c r="D47" s="4" t="s">
        <v>9</v>
      </c>
    </row>
    <row r="48" spans="1:4" x14ac:dyDescent="0.2">
      <c r="A48" s="4" t="s">
        <v>111</v>
      </c>
      <c r="B48" s="4" t="s">
        <v>143</v>
      </c>
      <c r="C48" s="4">
        <v>1</v>
      </c>
      <c r="D48" s="4" t="s">
        <v>17</v>
      </c>
    </row>
    <row r="49" spans="1:4" x14ac:dyDescent="0.2">
      <c r="A49" s="4" t="s">
        <v>113</v>
      </c>
      <c r="B49" s="4" t="s">
        <v>144</v>
      </c>
      <c r="C49" s="4">
        <v>1</v>
      </c>
      <c r="D49" s="4" t="s">
        <v>11</v>
      </c>
    </row>
  </sheetData>
  <phoneticPr fontId="4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9"/>
  <sheetViews>
    <sheetView zoomScaleNormal="100" workbookViewId="0">
      <selection activeCell="E3" sqref="E3:F3"/>
    </sheetView>
  </sheetViews>
  <sheetFormatPr defaultRowHeight="13.2" x14ac:dyDescent="0.2"/>
  <cols>
    <col min="1" max="1" width="23" customWidth="1"/>
    <col min="2" max="2" width="17.6640625" bestFit="1" customWidth="1"/>
    <col min="3" max="3" width="15.6640625" bestFit="1" customWidth="1"/>
    <col min="4" max="4" width="13.109375" bestFit="1" customWidth="1"/>
    <col min="5" max="6" width="6.77734375" bestFit="1" customWidth="1"/>
    <col min="7" max="7" width="7.6640625" bestFit="1" customWidth="1"/>
    <col min="8" max="8" width="7" bestFit="1" customWidth="1"/>
  </cols>
  <sheetData>
    <row r="1" spans="1:8" ht="16.2" x14ac:dyDescent="0.2">
      <c r="A1" s="1" t="s">
        <v>145</v>
      </c>
    </row>
    <row r="2" spans="1:8" ht="26.4" x14ac:dyDescent="0.2">
      <c r="A2" s="11" t="s">
        <v>1</v>
      </c>
      <c r="B2" s="12" t="s">
        <v>262</v>
      </c>
      <c r="C2" s="12" t="s">
        <v>258</v>
      </c>
      <c r="D2" s="12" t="s">
        <v>252</v>
      </c>
      <c r="E2" s="12" t="s">
        <v>253</v>
      </c>
      <c r="F2" s="12" t="s">
        <v>254</v>
      </c>
      <c r="G2" s="12" t="s">
        <v>255</v>
      </c>
      <c r="H2" s="12" t="s">
        <v>260</v>
      </c>
    </row>
    <row r="3" spans="1:8" x14ac:dyDescent="0.2">
      <c r="A3" s="13" t="s">
        <v>26</v>
      </c>
      <c r="B3" s="13" t="s">
        <v>27</v>
      </c>
      <c r="C3" s="13" t="s">
        <v>28</v>
      </c>
      <c r="D3" s="13">
        <v>10000</v>
      </c>
      <c r="E3" s="13">
        <f>D3-F3</f>
        <v>9964</v>
      </c>
      <c r="F3" s="13">
        <f>SUM(C7:C16)</f>
        <v>36</v>
      </c>
      <c r="G3" s="14">
        <v>0.85</v>
      </c>
      <c r="H3" s="14">
        <f>E3/D3</f>
        <v>0.99639999999999995</v>
      </c>
    </row>
    <row r="5" spans="1:8" x14ac:dyDescent="0.2">
      <c r="A5" s="2" t="s">
        <v>36</v>
      </c>
    </row>
    <row r="6" spans="1:8" x14ac:dyDescent="0.2">
      <c r="A6" s="7" t="s">
        <v>37</v>
      </c>
      <c r="B6" s="7" t="s">
        <v>38</v>
      </c>
      <c r="C6" s="7" t="s">
        <v>39</v>
      </c>
    </row>
    <row r="7" spans="1:8" x14ac:dyDescent="0.2">
      <c r="A7" s="4" t="s">
        <v>9</v>
      </c>
      <c r="B7" s="4" t="s">
        <v>40</v>
      </c>
      <c r="C7" s="4">
        <v>8</v>
      </c>
    </row>
    <row r="8" spans="1:8" x14ac:dyDescent="0.2">
      <c r="A8" s="4" t="s">
        <v>10</v>
      </c>
      <c r="B8" s="4" t="s">
        <v>41</v>
      </c>
      <c r="C8" s="4">
        <v>4</v>
      </c>
    </row>
    <row r="9" spans="1:8" x14ac:dyDescent="0.2">
      <c r="A9" s="4" t="s">
        <v>11</v>
      </c>
      <c r="B9" s="4" t="s">
        <v>42</v>
      </c>
      <c r="C9" s="4">
        <v>6</v>
      </c>
    </row>
    <row r="10" spans="1:8" x14ac:dyDescent="0.2">
      <c r="A10" s="4" t="s">
        <v>12</v>
      </c>
      <c r="B10" s="4" t="s">
        <v>43</v>
      </c>
      <c r="C10" s="4">
        <v>4</v>
      </c>
    </row>
    <row r="11" spans="1:8" x14ac:dyDescent="0.2">
      <c r="A11" s="4" t="s">
        <v>13</v>
      </c>
      <c r="B11" s="4" t="s">
        <v>44</v>
      </c>
      <c r="C11" s="4">
        <v>3</v>
      </c>
    </row>
    <row r="12" spans="1:8" x14ac:dyDescent="0.2">
      <c r="A12" s="4" t="s">
        <v>14</v>
      </c>
      <c r="B12" s="4" t="s">
        <v>45</v>
      </c>
      <c r="C12" s="4">
        <v>2</v>
      </c>
    </row>
    <row r="13" spans="1:8" x14ac:dyDescent="0.2">
      <c r="A13" s="4" t="s">
        <v>15</v>
      </c>
      <c r="B13" s="4" t="s">
        <v>46</v>
      </c>
      <c r="C13" s="4">
        <v>2</v>
      </c>
    </row>
    <row r="14" spans="1:8" x14ac:dyDescent="0.2">
      <c r="A14" s="4" t="s">
        <v>16</v>
      </c>
      <c r="B14" s="4" t="s">
        <v>47</v>
      </c>
      <c r="C14" s="4">
        <v>3</v>
      </c>
    </row>
    <row r="15" spans="1:8" x14ac:dyDescent="0.2">
      <c r="A15" s="4" t="s">
        <v>17</v>
      </c>
      <c r="B15" s="4" t="s">
        <v>48</v>
      </c>
      <c r="C15" s="4">
        <v>2</v>
      </c>
    </row>
    <row r="16" spans="1:8" x14ac:dyDescent="0.2">
      <c r="A16" s="4" t="s">
        <v>18</v>
      </c>
      <c r="B16" s="4" t="s">
        <v>49</v>
      </c>
      <c r="C16" s="4">
        <v>2</v>
      </c>
    </row>
    <row r="18" spans="1:4" x14ac:dyDescent="0.2">
      <c r="A18" s="2" t="s">
        <v>50</v>
      </c>
    </row>
    <row r="19" spans="1:4" x14ac:dyDescent="0.2">
      <c r="A19" s="8" t="s">
        <v>51</v>
      </c>
      <c r="B19" s="8" t="s">
        <v>52</v>
      </c>
      <c r="C19" s="8" t="s">
        <v>53</v>
      </c>
      <c r="D19" s="8" t="s">
        <v>54</v>
      </c>
    </row>
    <row r="20" spans="1:4" x14ac:dyDescent="0.2">
      <c r="A20" s="9" t="s">
        <v>55</v>
      </c>
      <c r="B20" s="9" t="s">
        <v>146</v>
      </c>
      <c r="C20" s="9">
        <v>3</v>
      </c>
      <c r="D20" s="9" t="s">
        <v>9</v>
      </c>
    </row>
    <row r="21" spans="1:4" x14ac:dyDescent="0.2">
      <c r="A21" s="9" t="s">
        <v>57</v>
      </c>
      <c r="B21" s="9" t="s">
        <v>147</v>
      </c>
      <c r="C21" s="9">
        <v>2</v>
      </c>
      <c r="D21" s="9" t="s">
        <v>9</v>
      </c>
    </row>
    <row r="22" spans="1:4" x14ac:dyDescent="0.2">
      <c r="A22" s="9" t="s">
        <v>59</v>
      </c>
      <c r="B22" s="9" t="s">
        <v>148</v>
      </c>
      <c r="C22" s="9">
        <v>2</v>
      </c>
      <c r="D22" s="9" t="s">
        <v>10</v>
      </c>
    </row>
    <row r="23" spans="1:4" x14ac:dyDescent="0.2">
      <c r="A23" s="9" t="s">
        <v>61</v>
      </c>
      <c r="B23" s="9" t="s">
        <v>149</v>
      </c>
      <c r="C23" s="9">
        <v>2</v>
      </c>
      <c r="D23" s="9" t="s">
        <v>10</v>
      </c>
    </row>
    <row r="24" spans="1:4" x14ac:dyDescent="0.2">
      <c r="A24" s="9" t="s">
        <v>63</v>
      </c>
      <c r="B24" s="9" t="s">
        <v>150</v>
      </c>
      <c r="C24" s="9">
        <v>2</v>
      </c>
      <c r="D24" s="9" t="s">
        <v>13</v>
      </c>
    </row>
    <row r="25" spans="1:4" x14ac:dyDescent="0.2">
      <c r="A25" s="4" t="s">
        <v>65</v>
      </c>
      <c r="B25" s="4" t="s">
        <v>151</v>
      </c>
      <c r="C25" s="4">
        <v>1</v>
      </c>
      <c r="D25" s="4" t="s">
        <v>12</v>
      </c>
    </row>
    <row r="26" spans="1:4" x14ac:dyDescent="0.2">
      <c r="A26" s="4" t="s">
        <v>67</v>
      </c>
      <c r="B26" s="4" t="s">
        <v>152</v>
      </c>
      <c r="C26" s="4">
        <v>1</v>
      </c>
      <c r="D26" s="4" t="s">
        <v>11</v>
      </c>
    </row>
    <row r="27" spans="1:4" x14ac:dyDescent="0.2">
      <c r="A27" s="4" t="s">
        <v>69</v>
      </c>
      <c r="B27" s="4" t="s">
        <v>153</v>
      </c>
      <c r="C27" s="4">
        <v>1</v>
      </c>
      <c r="D27" s="4" t="s">
        <v>15</v>
      </c>
    </row>
    <row r="28" spans="1:4" x14ac:dyDescent="0.2">
      <c r="A28" s="4" t="s">
        <v>71</v>
      </c>
      <c r="B28" s="4" t="s">
        <v>154</v>
      </c>
      <c r="C28" s="4">
        <v>1</v>
      </c>
      <c r="D28" s="4" t="s">
        <v>16</v>
      </c>
    </row>
    <row r="29" spans="1:4" x14ac:dyDescent="0.2">
      <c r="A29" s="4" t="s">
        <v>73</v>
      </c>
      <c r="B29" s="4" t="s">
        <v>155</v>
      </c>
      <c r="C29" s="4">
        <v>1</v>
      </c>
      <c r="D29" s="4" t="s">
        <v>14</v>
      </c>
    </row>
    <row r="30" spans="1:4" x14ac:dyDescent="0.2">
      <c r="A30" s="4" t="s">
        <v>75</v>
      </c>
      <c r="B30" s="4" t="s">
        <v>156</v>
      </c>
      <c r="C30" s="4">
        <v>1</v>
      </c>
      <c r="D30" s="4" t="s">
        <v>11</v>
      </c>
    </row>
    <row r="31" spans="1:4" x14ac:dyDescent="0.2">
      <c r="A31" s="4" t="s">
        <v>77</v>
      </c>
      <c r="B31" s="4" t="s">
        <v>157</v>
      </c>
      <c r="C31" s="4">
        <v>1</v>
      </c>
      <c r="D31" s="4" t="s">
        <v>16</v>
      </c>
    </row>
    <row r="32" spans="1:4" x14ac:dyDescent="0.2">
      <c r="A32" s="4" t="s">
        <v>79</v>
      </c>
      <c r="B32" s="4" t="s">
        <v>158</v>
      </c>
      <c r="C32" s="4">
        <v>1</v>
      </c>
      <c r="D32" s="4" t="s">
        <v>12</v>
      </c>
    </row>
    <row r="33" spans="1:4" x14ac:dyDescent="0.2">
      <c r="A33" s="4" t="s">
        <v>81</v>
      </c>
      <c r="B33" s="4" t="s">
        <v>159</v>
      </c>
      <c r="C33" s="4">
        <v>1</v>
      </c>
      <c r="D33" s="4" t="s">
        <v>17</v>
      </c>
    </row>
    <row r="34" spans="1:4" x14ac:dyDescent="0.2">
      <c r="A34" s="4" t="s">
        <v>83</v>
      </c>
      <c r="B34" s="4" t="s">
        <v>160</v>
      </c>
      <c r="C34" s="4">
        <v>1</v>
      </c>
      <c r="D34" s="4" t="s">
        <v>17</v>
      </c>
    </row>
    <row r="35" spans="1:4" x14ac:dyDescent="0.2">
      <c r="A35" s="4" t="s">
        <v>85</v>
      </c>
      <c r="B35" s="4" t="s">
        <v>161</v>
      </c>
      <c r="C35" s="4">
        <v>1</v>
      </c>
      <c r="D35" s="4" t="s">
        <v>9</v>
      </c>
    </row>
    <row r="36" spans="1:4" x14ac:dyDescent="0.2">
      <c r="A36" s="4" t="s">
        <v>87</v>
      </c>
      <c r="B36" s="4" t="s">
        <v>162</v>
      </c>
      <c r="C36" s="4">
        <v>1</v>
      </c>
      <c r="D36" s="4" t="s">
        <v>11</v>
      </c>
    </row>
    <row r="37" spans="1:4" x14ac:dyDescent="0.2">
      <c r="A37" s="4" t="s">
        <v>89</v>
      </c>
      <c r="B37" s="4" t="s">
        <v>163</v>
      </c>
      <c r="C37" s="4">
        <v>1</v>
      </c>
      <c r="D37" s="4" t="s">
        <v>18</v>
      </c>
    </row>
    <row r="38" spans="1:4" x14ac:dyDescent="0.2">
      <c r="A38" s="4" t="s">
        <v>91</v>
      </c>
      <c r="B38" s="4" t="s">
        <v>106</v>
      </c>
      <c r="C38" s="4">
        <v>1</v>
      </c>
      <c r="D38" s="4" t="s">
        <v>9</v>
      </c>
    </row>
    <row r="39" spans="1:4" x14ac:dyDescent="0.2">
      <c r="A39" s="4" t="s">
        <v>93</v>
      </c>
      <c r="B39" s="4" t="s">
        <v>164</v>
      </c>
      <c r="C39" s="4">
        <v>1</v>
      </c>
      <c r="D39" s="4" t="s">
        <v>18</v>
      </c>
    </row>
    <row r="40" spans="1:4" x14ac:dyDescent="0.2">
      <c r="A40" s="4" t="s">
        <v>95</v>
      </c>
      <c r="B40" s="4" t="s">
        <v>165</v>
      </c>
      <c r="C40" s="4">
        <v>1</v>
      </c>
      <c r="D40" s="4" t="s">
        <v>12</v>
      </c>
    </row>
    <row r="41" spans="1:4" x14ac:dyDescent="0.2">
      <c r="A41" s="4" t="s">
        <v>97</v>
      </c>
      <c r="B41" s="4" t="s">
        <v>166</v>
      </c>
      <c r="C41" s="4">
        <v>1</v>
      </c>
      <c r="D41" s="4" t="s">
        <v>13</v>
      </c>
    </row>
    <row r="42" spans="1:4" x14ac:dyDescent="0.2">
      <c r="A42" s="4" t="s">
        <v>99</v>
      </c>
      <c r="B42" s="4" t="s">
        <v>167</v>
      </c>
      <c r="C42" s="4">
        <v>1</v>
      </c>
      <c r="D42" s="4" t="s">
        <v>11</v>
      </c>
    </row>
    <row r="43" spans="1:4" x14ac:dyDescent="0.2">
      <c r="A43" s="4" t="s">
        <v>101</v>
      </c>
      <c r="B43" s="4" t="s">
        <v>168</v>
      </c>
      <c r="C43" s="4">
        <v>1</v>
      </c>
      <c r="D43" s="4" t="s">
        <v>9</v>
      </c>
    </row>
    <row r="44" spans="1:4" x14ac:dyDescent="0.2">
      <c r="A44" s="4" t="s">
        <v>103</v>
      </c>
      <c r="B44" s="4" t="s">
        <v>169</v>
      </c>
      <c r="C44" s="4">
        <v>1</v>
      </c>
      <c r="D44" s="4" t="s">
        <v>11</v>
      </c>
    </row>
    <row r="45" spans="1:4" x14ac:dyDescent="0.2">
      <c r="A45" s="4" t="s">
        <v>105</v>
      </c>
      <c r="B45" s="4" t="s">
        <v>170</v>
      </c>
      <c r="C45" s="4">
        <v>1</v>
      </c>
      <c r="D45" s="4" t="s">
        <v>14</v>
      </c>
    </row>
    <row r="46" spans="1:4" x14ac:dyDescent="0.2">
      <c r="A46" s="4" t="s">
        <v>107</v>
      </c>
      <c r="B46" s="4" t="s">
        <v>171</v>
      </c>
      <c r="C46" s="4">
        <v>1</v>
      </c>
      <c r="D46" s="4" t="s">
        <v>16</v>
      </c>
    </row>
    <row r="47" spans="1:4" x14ac:dyDescent="0.2">
      <c r="A47" s="4" t="s">
        <v>109</v>
      </c>
      <c r="B47" s="4" t="s">
        <v>172</v>
      </c>
      <c r="C47" s="4">
        <v>1</v>
      </c>
      <c r="D47" s="4" t="s">
        <v>12</v>
      </c>
    </row>
    <row r="48" spans="1:4" x14ac:dyDescent="0.2">
      <c r="A48" s="4" t="s">
        <v>111</v>
      </c>
      <c r="B48" s="4" t="s">
        <v>173</v>
      </c>
      <c r="C48" s="4">
        <v>1</v>
      </c>
      <c r="D48" s="4" t="s">
        <v>11</v>
      </c>
    </row>
    <row r="49" spans="1:4" x14ac:dyDescent="0.2">
      <c r="A49" s="4" t="s">
        <v>113</v>
      </c>
      <c r="B49" s="4" t="s">
        <v>174</v>
      </c>
      <c r="C49" s="4">
        <v>1</v>
      </c>
      <c r="D49" s="4" t="s">
        <v>15</v>
      </c>
    </row>
  </sheetData>
  <phoneticPr fontId="4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49"/>
  <sheetViews>
    <sheetView workbookViewId="0">
      <selection activeCell="E3" sqref="E3:F3"/>
    </sheetView>
  </sheetViews>
  <sheetFormatPr defaultRowHeight="13.2" x14ac:dyDescent="0.2"/>
  <cols>
    <col min="1" max="1" width="23" customWidth="1"/>
    <col min="2" max="2" width="17.6640625" bestFit="1" customWidth="1"/>
    <col min="3" max="3" width="16.109375" bestFit="1" customWidth="1"/>
    <col min="4" max="4" width="13.109375" bestFit="1" customWidth="1"/>
    <col min="5" max="6" width="6.77734375" bestFit="1" customWidth="1"/>
    <col min="7" max="7" width="7.6640625" bestFit="1" customWidth="1"/>
    <col min="8" max="8" width="7" bestFit="1" customWidth="1"/>
  </cols>
  <sheetData>
    <row r="1" spans="1:8" ht="16.2" x14ac:dyDescent="0.2">
      <c r="A1" s="1" t="s">
        <v>175</v>
      </c>
    </row>
    <row r="2" spans="1:8" ht="26.4" x14ac:dyDescent="0.2">
      <c r="A2" s="11" t="s">
        <v>1</v>
      </c>
      <c r="B2" s="12" t="s">
        <v>262</v>
      </c>
      <c r="C2" s="12" t="s">
        <v>251</v>
      </c>
      <c r="D2" s="12" t="s">
        <v>252</v>
      </c>
      <c r="E2" s="12" t="s">
        <v>253</v>
      </c>
      <c r="F2" s="12" t="s">
        <v>254</v>
      </c>
      <c r="G2" s="12" t="s">
        <v>255</v>
      </c>
      <c r="H2" s="12" t="s">
        <v>256</v>
      </c>
    </row>
    <row r="3" spans="1:8" x14ac:dyDescent="0.2">
      <c r="A3" s="13" t="s">
        <v>29</v>
      </c>
      <c r="B3" s="13" t="s">
        <v>30</v>
      </c>
      <c r="C3" s="13" t="s">
        <v>31</v>
      </c>
      <c r="D3" s="13">
        <v>10000</v>
      </c>
      <c r="E3" s="13">
        <f>D3-F3</f>
        <v>9817</v>
      </c>
      <c r="F3" s="13">
        <f>SUM(C7:C16)</f>
        <v>183</v>
      </c>
      <c r="G3" s="14">
        <v>0.85</v>
      </c>
      <c r="H3" s="14">
        <f>E3/D3</f>
        <v>0.98170000000000002</v>
      </c>
    </row>
    <row r="5" spans="1:8" x14ac:dyDescent="0.2">
      <c r="A5" s="2" t="s">
        <v>36</v>
      </c>
    </row>
    <row r="6" spans="1:8" x14ac:dyDescent="0.2">
      <c r="A6" s="7" t="s">
        <v>37</v>
      </c>
      <c r="B6" s="7" t="s">
        <v>38</v>
      </c>
      <c r="C6" s="7" t="s">
        <v>39</v>
      </c>
    </row>
    <row r="7" spans="1:8" x14ac:dyDescent="0.2">
      <c r="A7" s="4" t="s">
        <v>9</v>
      </c>
      <c r="B7" s="4" t="s">
        <v>40</v>
      </c>
      <c r="C7" s="4">
        <v>52</v>
      </c>
    </row>
    <row r="8" spans="1:8" x14ac:dyDescent="0.2">
      <c r="A8" s="4" t="s">
        <v>10</v>
      </c>
      <c r="B8" s="4" t="s">
        <v>41</v>
      </c>
      <c r="C8" s="4">
        <v>51</v>
      </c>
    </row>
    <row r="9" spans="1:8" x14ac:dyDescent="0.2">
      <c r="A9" s="4" t="s">
        <v>11</v>
      </c>
      <c r="B9" s="4" t="s">
        <v>42</v>
      </c>
      <c r="C9" s="4">
        <v>11</v>
      </c>
    </row>
    <row r="10" spans="1:8" x14ac:dyDescent="0.2">
      <c r="A10" s="4" t="s">
        <v>12</v>
      </c>
      <c r="B10" s="4" t="s">
        <v>43</v>
      </c>
      <c r="C10" s="4">
        <v>12</v>
      </c>
    </row>
    <row r="11" spans="1:8" x14ac:dyDescent="0.2">
      <c r="A11" s="4" t="s">
        <v>13</v>
      </c>
      <c r="B11" s="4" t="s">
        <v>44</v>
      </c>
      <c r="C11" s="4">
        <v>8</v>
      </c>
    </row>
    <row r="12" spans="1:8" x14ac:dyDescent="0.2">
      <c r="A12" s="4" t="s">
        <v>14</v>
      </c>
      <c r="B12" s="4" t="s">
        <v>45</v>
      </c>
      <c r="C12" s="4">
        <v>14</v>
      </c>
    </row>
    <row r="13" spans="1:8" x14ac:dyDescent="0.2">
      <c r="A13" s="4" t="s">
        <v>15</v>
      </c>
      <c r="B13" s="4" t="s">
        <v>46</v>
      </c>
      <c r="C13" s="4">
        <v>3</v>
      </c>
    </row>
    <row r="14" spans="1:8" x14ac:dyDescent="0.2">
      <c r="A14" s="4" t="s">
        <v>16</v>
      </c>
      <c r="B14" s="4" t="s">
        <v>47</v>
      </c>
      <c r="C14" s="4">
        <v>22</v>
      </c>
    </row>
    <row r="15" spans="1:8" x14ac:dyDescent="0.2">
      <c r="A15" s="4" t="s">
        <v>17</v>
      </c>
      <c r="B15" s="4" t="s">
        <v>48</v>
      </c>
      <c r="C15" s="4">
        <v>10</v>
      </c>
    </row>
    <row r="16" spans="1:8" x14ac:dyDescent="0.2">
      <c r="A16" s="4" t="s">
        <v>18</v>
      </c>
      <c r="B16" s="4" t="s">
        <v>49</v>
      </c>
      <c r="C16" s="4">
        <v>0</v>
      </c>
    </row>
    <row r="18" spans="1:4" x14ac:dyDescent="0.2">
      <c r="A18" s="2" t="s">
        <v>50</v>
      </c>
    </row>
    <row r="19" spans="1:4" x14ac:dyDescent="0.2">
      <c r="A19" s="8" t="s">
        <v>51</v>
      </c>
      <c r="B19" s="8" t="s">
        <v>52</v>
      </c>
      <c r="C19" s="8" t="s">
        <v>53</v>
      </c>
      <c r="D19" s="8" t="s">
        <v>54</v>
      </c>
    </row>
    <row r="20" spans="1:4" x14ac:dyDescent="0.2">
      <c r="A20" s="9" t="s">
        <v>55</v>
      </c>
      <c r="B20" s="9" t="s">
        <v>176</v>
      </c>
      <c r="C20" s="9">
        <v>22</v>
      </c>
      <c r="D20" s="9" t="s">
        <v>9</v>
      </c>
    </row>
    <row r="21" spans="1:4" x14ac:dyDescent="0.2">
      <c r="A21" s="9" t="s">
        <v>57</v>
      </c>
      <c r="B21" s="9" t="s">
        <v>177</v>
      </c>
      <c r="C21" s="9">
        <v>18</v>
      </c>
      <c r="D21" s="9" t="s">
        <v>9</v>
      </c>
    </row>
    <row r="22" spans="1:4" x14ac:dyDescent="0.2">
      <c r="A22" s="9" t="s">
        <v>59</v>
      </c>
      <c r="B22" s="9" t="s">
        <v>178</v>
      </c>
      <c r="C22" s="9">
        <v>16</v>
      </c>
      <c r="D22" s="9" t="s">
        <v>10</v>
      </c>
    </row>
    <row r="23" spans="1:4" x14ac:dyDescent="0.2">
      <c r="A23" s="9" t="s">
        <v>61</v>
      </c>
      <c r="B23" s="9" t="s">
        <v>179</v>
      </c>
      <c r="C23" s="9">
        <v>14</v>
      </c>
      <c r="D23" s="9" t="s">
        <v>10</v>
      </c>
    </row>
    <row r="24" spans="1:4" x14ac:dyDescent="0.2">
      <c r="A24" s="9" t="s">
        <v>63</v>
      </c>
      <c r="B24" s="9" t="s">
        <v>180</v>
      </c>
      <c r="C24" s="9">
        <v>8</v>
      </c>
      <c r="D24" s="9" t="s">
        <v>11</v>
      </c>
    </row>
    <row r="25" spans="1:4" x14ac:dyDescent="0.2">
      <c r="A25" s="4" t="s">
        <v>65</v>
      </c>
      <c r="B25" s="4" t="s">
        <v>117</v>
      </c>
      <c r="C25" s="4">
        <v>7</v>
      </c>
      <c r="D25" s="4" t="s">
        <v>9</v>
      </c>
    </row>
    <row r="26" spans="1:4" x14ac:dyDescent="0.2">
      <c r="A26" s="4" t="s">
        <v>67</v>
      </c>
      <c r="B26" s="4" t="s">
        <v>181</v>
      </c>
      <c r="C26" s="4">
        <v>7</v>
      </c>
      <c r="D26" s="4" t="s">
        <v>10</v>
      </c>
    </row>
    <row r="27" spans="1:4" x14ac:dyDescent="0.2">
      <c r="A27" s="4" t="s">
        <v>69</v>
      </c>
      <c r="B27" s="4" t="s">
        <v>182</v>
      </c>
      <c r="C27" s="4">
        <v>7</v>
      </c>
      <c r="D27" s="4" t="s">
        <v>12</v>
      </c>
    </row>
    <row r="28" spans="1:4" x14ac:dyDescent="0.2">
      <c r="A28" s="4" t="s">
        <v>71</v>
      </c>
      <c r="B28" s="4" t="s">
        <v>183</v>
      </c>
      <c r="C28" s="4">
        <v>7</v>
      </c>
      <c r="D28" s="4" t="s">
        <v>13</v>
      </c>
    </row>
    <row r="29" spans="1:4" x14ac:dyDescent="0.2">
      <c r="A29" s="4" t="s">
        <v>73</v>
      </c>
      <c r="B29" s="4" t="s">
        <v>184</v>
      </c>
      <c r="C29" s="4">
        <v>7</v>
      </c>
      <c r="D29" s="4" t="s">
        <v>10</v>
      </c>
    </row>
    <row r="30" spans="1:4" x14ac:dyDescent="0.2">
      <c r="A30" s="4" t="s">
        <v>75</v>
      </c>
      <c r="B30" s="4" t="s">
        <v>185</v>
      </c>
      <c r="C30" s="4">
        <v>7</v>
      </c>
      <c r="D30" s="4" t="s">
        <v>14</v>
      </c>
    </row>
    <row r="31" spans="1:4" x14ac:dyDescent="0.2">
      <c r="A31" s="4" t="s">
        <v>77</v>
      </c>
      <c r="B31" s="4" t="s">
        <v>186</v>
      </c>
      <c r="C31" s="4">
        <v>6</v>
      </c>
      <c r="D31" s="4" t="s">
        <v>16</v>
      </c>
    </row>
    <row r="32" spans="1:4" x14ac:dyDescent="0.2">
      <c r="A32" s="4" t="s">
        <v>79</v>
      </c>
      <c r="B32" s="4" t="s">
        <v>187</v>
      </c>
      <c r="C32" s="4">
        <v>6</v>
      </c>
      <c r="D32" s="4" t="s">
        <v>16</v>
      </c>
    </row>
    <row r="33" spans="1:4" x14ac:dyDescent="0.2">
      <c r="A33" s="4" t="s">
        <v>81</v>
      </c>
      <c r="B33" s="4" t="s">
        <v>132</v>
      </c>
      <c r="C33" s="4">
        <v>5</v>
      </c>
      <c r="D33" s="4" t="s">
        <v>14</v>
      </c>
    </row>
    <row r="34" spans="1:4" x14ac:dyDescent="0.2">
      <c r="A34" s="4" t="s">
        <v>83</v>
      </c>
      <c r="B34" s="4" t="s">
        <v>188</v>
      </c>
      <c r="C34" s="4">
        <v>5</v>
      </c>
      <c r="D34" s="4" t="s">
        <v>17</v>
      </c>
    </row>
    <row r="35" spans="1:4" x14ac:dyDescent="0.2">
      <c r="A35" s="4" t="s">
        <v>85</v>
      </c>
      <c r="B35" s="4" t="s">
        <v>189</v>
      </c>
      <c r="C35" s="4">
        <v>5</v>
      </c>
      <c r="D35" s="4" t="s">
        <v>12</v>
      </c>
    </row>
    <row r="36" spans="1:4" x14ac:dyDescent="0.2">
      <c r="A36" s="4" t="s">
        <v>87</v>
      </c>
      <c r="B36" s="4" t="s">
        <v>190</v>
      </c>
      <c r="C36" s="4">
        <v>5</v>
      </c>
      <c r="D36" s="4" t="s">
        <v>10</v>
      </c>
    </row>
    <row r="37" spans="1:4" x14ac:dyDescent="0.2">
      <c r="A37" s="4" t="s">
        <v>89</v>
      </c>
      <c r="B37" s="4" t="s">
        <v>191</v>
      </c>
      <c r="C37" s="4">
        <v>5</v>
      </c>
      <c r="D37" s="4" t="s">
        <v>9</v>
      </c>
    </row>
    <row r="38" spans="1:4" x14ac:dyDescent="0.2">
      <c r="A38" s="4" t="s">
        <v>91</v>
      </c>
      <c r="B38" s="4" t="s">
        <v>192</v>
      </c>
      <c r="C38" s="4">
        <v>4</v>
      </c>
      <c r="D38" s="4" t="s">
        <v>16</v>
      </c>
    </row>
    <row r="39" spans="1:4" x14ac:dyDescent="0.2">
      <c r="A39" s="4" t="s">
        <v>93</v>
      </c>
      <c r="B39" s="4" t="s">
        <v>193</v>
      </c>
      <c r="C39" s="4">
        <v>3</v>
      </c>
      <c r="D39" s="4" t="s">
        <v>16</v>
      </c>
    </row>
    <row r="40" spans="1:4" x14ac:dyDescent="0.2">
      <c r="A40" s="4" t="s">
        <v>95</v>
      </c>
      <c r="B40" s="4" t="s">
        <v>194</v>
      </c>
      <c r="C40" s="4">
        <v>3</v>
      </c>
      <c r="D40" s="4" t="s">
        <v>15</v>
      </c>
    </row>
    <row r="41" spans="1:4" x14ac:dyDescent="0.2">
      <c r="A41" s="4" t="s">
        <v>97</v>
      </c>
      <c r="B41" s="4" t="s">
        <v>195</v>
      </c>
      <c r="C41" s="4">
        <v>3</v>
      </c>
      <c r="D41" s="4" t="s">
        <v>16</v>
      </c>
    </row>
    <row r="42" spans="1:4" x14ac:dyDescent="0.2">
      <c r="A42" s="4" t="s">
        <v>99</v>
      </c>
      <c r="B42" s="4" t="s">
        <v>196</v>
      </c>
      <c r="C42" s="4">
        <v>3</v>
      </c>
      <c r="D42" s="4" t="s">
        <v>17</v>
      </c>
    </row>
    <row r="43" spans="1:4" x14ac:dyDescent="0.2">
      <c r="A43" s="4" t="s">
        <v>101</v>
      </c>
      <c r="B43" s="4" t="s">
        <v>167</v>
      </c>
      <c r="C43" s="4">
        <v>2</v>
      </c>
      <c r="D43" s="4" t="s">
        <v>11</v>
      </c>
    </row>
    <row r="44" spans="1:4" x14ac:dyDescent="0.2">
      <c r="A44" s="4" t="s">
        <v>103</v>
      </c>
      <c r="B44" s="4" t="s">
        <v>197</v>
      </c>
      <c r="C44" s="4">
        <v>2</v>
      </c>
      <c r="D44" s="4" t="s">
        <v>17</v>
      </c>
    </row>
    <row r="45" spans="1:4" x14ac:dyDescent="0.2">
      <c r="A45" s="4" t="s">
        <v>105</v>
      </c>
      <c r="B45" s="4" t="s">
        <v>198</v>
      </c>
      <c r="C45" s="4">
        <v>2</v>
      </c>
      <c r="D45" s="4" t="s">
        <v>10</v>
      </c>
    </row>
    <row r="46" spans="1:4" x14ac:dyDescent="0.2">
      <c r="A46" s="4" t="s">
        <v>107</v>
      </c>
      <c r="B46" s="4" t="s">
        <v>199</v>
      </c>
      <c r="C46" s="4">
        <v>1</v>
      </c>
      <c r="D46" s="4" t="s">
        <v>14</v>
      </c>
    </row>
    <row r="47" spans="1:4" x14ac:dyDescent="0.2">
      <c r="A47" s="4" t="s">
        <v>109</v>
      </c>
      <c r="B47" s="4" t="s">
        <v>200</v>
      </c>
      <c r="C47" s="4">
        <v>1</v>
      </c>
      <c r="D47" s="4" t="s">
        <v>13</v>
      </c>
    </row>
    <row r="48" spans="1:4" x14ac:dyDescent="0.2">
      <c r="A48" s="4" t="s">
        <v>111</v>
      </c>
      <c r="B48" s="4" t="s">
        <v>201</v>
      </c>
      <c r="C48" s="4">
        <v>1</v>
      </c>
      <c r="D48" s="4" t="s">
        <v>11</v>
      </c>
    </row>
    <row r="49" spans="1:4" x14ac:dyDescent="0.2">
      <c r="A49" s="4" t="s">
        <v>113</v>
      </c>
      <c r="B49" s="4" t="s">
        <v>202</v>
      </c>
      <c r="C49" s="4">
        <v>1</v>
      </c>
      <c r="D49" s="4" t="s">
        <v>14</v>
      </c>
    </row>
  </sheetData>
  <phoneticPr fontId="4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49"/>
  <sheetViews>
    <sheetView workbookViewId="0">
      <selection activeCell="E3" sqref="E3:F3"/>
    </sheetView>
  </sheetViews>
  <sheetFormatPr defaultRowHeight="13.2" x14ac:dyDescent="0.2"/>
  <cols>
    <col min="1" max="1" width="23" customWidth="1"/>
    <col min="2" max="2" width="17.6640625" bestFit="1" customWidth="1"/>
    <col min="3" max="3" width="15.6640625" bestFit="1" customWidth="1"/>
    <col min="4" max="4" width="13.109375" bestFit="1" customWidth="1"/>
    <col min="5" max="5" width="6.77734375" bestFit="1" customWidth="1"/>
    <col min="6" max="6" width="6.109375" bestFit="1" customWidth="1"/>
    <col min="7" max="7" width="7.6640625" bestFit="1" customWidth="1"/>
    <col min="8" max="8" width="7" bestFit="1" customWidth="1"/>
  </cols>
  <sheetData>
    <row r="1" spans="1:8" ht="16.2" x14ac:dyDescent="0.2">
      <c r="A1" s="1" t="s">
        <v>203</v>
      </c>
    </row>
    <row r="2" spans="1:8" ht="26.4" x14ac:dyDescent="0.2">
      <c r="A2" s="11" t="s">
        <v>1</v>
      </c>
      <c r="B2" s="12" t="s">
        <v>250</v>
      </c>
      <c r="C2" s="12" t="s">
        <v>258</v>
      </c>
      <c r="D2" s="12" t="s">
        <v>252</v>
      </c>
      <c r="E2" s="12" t="s">
        <v>253</v>
      </c>
      <c r="F2" s="12" t="s">
        <v>264</v>
      </c>
      <c r="G2" s="12" t="s">
        <v>255</v>
      </c>
      <c r="H2" s="12" t="s">
        <v>256</v>
      </c>
    </row>
    <row r="3" spans="1:8" x14ac:dyDescent="0.2">
      <c r="A3" s="13" t="s">
        <v>32</v>
      </c>
      <c r="B3" s="13" t="s">
        <v>33</v>
      </c>
      <c r="C3" s="13" t="s">
        <v>34</v>
      </c>
      <c r="D3" s="13">
        <v>10000</v>
      </c>
      <c r="E3" s="13">
        <f>D3-F3</f>
        <v>9944</v>
      </c>
      <c r="F3" s="13">
        <f>SUM(C7:C16)</f>
        <v>56</v>
      </c>
      <c r="G3" s="14">
        <v>0.85</v>
      </c>
      <c r="H3" s="14">
        <f>E3/D3</f>
        <v>0.99439999999999995</v>
      </c>
    </row>
    <row r="5" spans="1:8" x14ac:dyDescent="0.2">
      <c r="A5" s="2" t="s">
        <v>36</v>
      </c>
    </row>
    <row r="6" spans="1:8" x14ac:dyDescent="0.2">
      <c r="A6" s="7" t="s">
        <v>37</v>
      </c>
      <c r="B6" s="7" t="s">
        <v>38</v>
      </c>
      <c r="C6" s="7" t="s">
        <v>39</v>
      </c>
    </row>
    <row r="7" spans="1:8" x14ac:dyDescent="0.2">
      <c r="A7" s="4" t="s">
        <v>9</v>
      </c>
      <c r="B7" s="4" t="s">
        <v>40</v>
      </c>
      <c r="C7" s="4">
        <v>15</v>
      </c>
    </row>
    <row r="8" spans="1:8" x14ac:dyDescent="0.2">
      <c r="A8" s="4" t="s">
        <v>10</v>
      </c>
      <c r="B8" s="4" t="s">
        <v>41</v>
      </c>
      <c r="C8" s="4">
        <v>13</v>
      </c>
    </row>
    <row r="9" spans="1:8" x14ac:dyDescent="0.2">
      <c r="A9" s="4" t="s">
        <v>11</v>
      </c>
      <c r="B9" s="4" t="s">
        <v>42</v>
      </c>
      <c r="C9" s="4">
        <v>12</v>
      </c>
    </row>
    <row r="10" spans="1:8" x14ac:dyDescent="0.2">
      <c r="A10" s="4" t="s">
        <v>12</v>
      </c>
      <c r="B10" s="4" t="s">
        <v>43</v>
      </c>
      <c r="C10" s="4">
        <v>1</v>
      </c>
    </row>
    <row r="11" spans="1:8" x14ac:dyDescent="0.2">
      <c r="A11" s="4" t="s">
        <v>13</v>
      </c>
      <c r="B11" s="4" t="s">
        <v>44</v>
      </c>
      <c r="C11" s="4">
        <v>3</v>
      </c>
    </row>
    <row r="12" spans="1:8" x14ac:dyDescent="0.2">
      <c r="A12" s="4" t="s">
        <v>14</v>
      </c>
      <c r="B12" s="4" t="s">
        <v>45</v>
      </c>
      <c r="C12" s="4">
        <v>6</v>
      </c>
    </row>
    <row r="13" spans="1:8" x14ac:dyDescent="0.2">
      <c r="A13" s="4" t="s">
        <v>15</v>
      </c>
      <c r="B13" s="4" t="s">
        <v>46</v>
      </c>
      <c r="C13" s="4">
        <v>2</v>
      </c>
    </row>
    <row r="14" spans="1:8" x14ac:dyDescent="0.2">
      <c r="A14" s="4" t="s">
        <v>16</v>
      </c>
      <c r="B14" s="4" t="s">
        <v>47</v>
      </c>
      <c r="C14" s="4">
        <v>0</v>
      </c>
    </row>
    <row r="15" spans="1:8" x14ac:dyDescent="0.2">
      <c r="A15" s="4" t="s">
        <v>17</v>
      </c>
      <c r="B15" s="4" t="s">
        <v>48</v>
      </c>
      <c r="C15" s="4">
        <v>3</v>
      </c>
    </row>
    <row r="16" spans="1:8" x14ac:dyDescent="0.2">
      <c r="A16" s="4" t="s">
        <v>18</v>
      </c>
      <c r="B16" s="4" t="s">
        <v>49</v>
      </c>
      <c r="C16" s="4">
        <v>1</v>
      </c>
    </row>
    <row r="18" spans="1:4" x14ac:dyDescent="0.2">
      <c r="A18" s="2" t="s">
        <v>50</v>
      </c>
    </row>
    <row r="19" spans="1:4" x14ac:dyDescent="0.2">
      <c r="A19" s="8" t="s">
        <v>51</v>
      </c>
      <c r="B19" s="8" t="s">
        <v>52</v>
      </c>
      <c r="C19" s="8" t="s">
        <v>53</v>
      </c>
      <c r="D19" s="8" t="s">
        <v>54</v>
      </c>
    </row>
    <row r="20" spans="1:4" x14ac:dyDescent="0.2">
      <c r="A20" s="9" t="s">
        <v>55</v>
      </c>
      <c r="B20" s="9" t="s">
        <v>204</v>
      </c>
      <c r="C20" s="9">
        <v>6</v>
      </c>
      <c r="D20" s="9" t="s">
        <v>10</v>
      </c>
    </row>
    <row r="21" spans="1:4" x14ac:dyDescent="0.2">
      <c r="A21" s="9" t="s">
        <v>57</v>
      </c>
      <c r="B21" s="9" t="s">
        <v>60</v>
      </c>
      <c r="C21" s="9">
        <v>5</v>
      </c>
      <c r="D21" s="9" t="s">
        <v>9</v>
      </c>
    </row>
    <row r="22" spans="1:4" x14ac:dyDescent="0.2">
      <c r="A22" s="9" t="s">
        <v>59</v>
      </c>
      <c r="B22" s="9" t="s">
        <v>205</v>
      </c>
      <c r="C22" s="9">
        <v>4</v>
      </c>
      <c r="D22" s="9" t="s">
        <v>10</v>
      </c>
    </row>
    <row r="23" spans="1:4" x14ac:dyDescent="0.2">
      <c r="A23" s="9" t="s">
        <v>61</v>
      </c>
      <c r="B23" s="9" t="s">
        <v>173</v>
      </c>
      <c r="C23" s="9">
        <v>4</v>
      </c>
      <c r="D23" s="9" t="s">
        <v>11</v>
      </c>
    </row>
    <row r="24" spans="1:4" x14ac:dyDescent="0.2">
      <c r="A24" s="9" t="s">
        <v>63</v>
      </c>
      <c r="B24" s="9" t="s">
        <v>117</v>
      </c>
      <c r="C24" s="9">
        <v>3</v>
      </c>
      <c r="D24" s="9" t="s">
        <v>9</v>
      </c>
    </row>
    <row r="25" spans="1:4" x14ac:dyDescent="0.2">
      <c r="A25" s="4" t="s">
        <v>65</v>
      </c>
      <c r="B25" s="4" t="s">
        <v>206</v>
      </c>
      <c r="C25" s="4">
        <v>2</v>
      </c>
      <c r="D25" s="4" t="s">
        <v>11</v>
      </c>
    </row>
    <row r="26" spans="1:4" x14ac:dyDescent="0.2">
      <c r="A26" s="4" t="s">
        <v>67</v>
      </c>
      <c r="B26" s="4" t="s">
        <v>207</v>
      </c>
      <c r="C26" s="4">
        <v>2</v>
      </c>
      <c r="D26" s="4" t="s">
        <v>9</v>
      </c>
    </row>
    <row r="27" spans="1:4" x14ac:dyDescent="0.2">
      <c r="A27" s="4" t="s">
        <v>69</v>
      </c>
      <c r="B27" s="4" t="s">
        <v>208</v>
      </c>
      <c r="C27" s="4">
        <v>2</v>
      </c>
      <c r="D27" s="4" t="s">
        <v>11</v>
      </c>
    </row>
    <row r="28" spans="1:4" x14ac:dyDescent="0.2">
      <c r="A28" s="4" t="s">
        <v>71</v>
      </c>
      <c r="B28" s="4" t="s">
        <v>170</v>
      </c>
      <c r="C28" s="4">
        <v>2</v>
      </c>
      <c r="D28" s="4" t="s">
        <v>14</v>
      </c>
    </row>
    <row r="29" spans="1:4" x14ac:dyDescent="0.2">
      <c r="A29" s="4" t="s">
        <v>73</v>
      </c>
      <c r="B29" s="4" t="s">
        <v>136</v>
      </c>
      <c r="C29" s="4">
        <v>2</v>
      </c>
      <c r="D29" s="4" t="s">
        <v>9</v>
      </c>
    </row>
    <row r="30" spans="1:4" x14ac:dyDescent="0.2">
      <c r="A30" s="4" t="s">
        <v>75</v>
      </c>
      <c r="B30" s="4" t="s">
        <v>127</v>
      </c>
      <c r="C30" s="4">
        <v>2</v>
      </c>
      <c r="D30" s="4" t="s">
        <v>9</v>
      </c>
    </row>
    <row r="31" spans="1:4" x14ac:dyDescent="0.2">
      <c r="A31" s="4" t="s">
        <v>77</v>
      </c>
      <c r="B31" s="4" t="s">
        <v>209</v>
      </c>
      <c r="C31" s="4">
        <v>2</v>
      </c>
      <c r="D31" s="4" t="s">
        <v>11</v>
      </c>
    </row>
    <row r="32" spans="1:4" x14ac:dyDescent="0.2">
      <c r="A32" s="4" t="s">
        <v>79</v>
      </c>
      <c r="B32" s="4" t="s">
        <v>210</v>
      </c>
      <c r="C32" s="4">
        <v>2</v>
      </c>
      <c r="D32" s="4" t="s">
        <v>13</v>
      </c>
    </row>
    <row r="33" spans="1:4" x14ac:dyDescent="0.2">
      <c r="A33" s="4" t="s">
        <v>81</v>
      </c>
      <c r="B33" s="4" t="s">
        <v>169</v>
      </c>
      <c r="C33" s="4">
        <v>2</v>
      </c>
      <c r="D33" s="4" t="s">
        <v>11</v>
      </c>
    </row>
    <row r="34" spans="1:4" x14ac:dyDescent="0.2">
      <c r="A34" s="4" t="s">
        <v>83</v>
      </c>
      <c r="B34" s="4" t="s">
        <v>211</v>
      </c>
      <c r="C34" s="4">
        <v>1</v>
      </c>
      <c r="D34" s="4" t="s">
        <v>12</v>
      </c>
    </row>
    <row r="35" spans="1:4" x14ac:dyDescent="0.2">
      <c r="A35" s="4" t="s">
        <v>85</v>
      </c>
      <c r="B35" s="4" t="s">
        <v>116</v>
      </c>
      <c r="C35" s="4">
        <v>1</v>
      </c>
      <c r="D35" s="4" t="s">
        <v>9</v>
      </c>
    </row>
    <row r="36" spans="1:4" x14ac:dyDescent="0.2">
      <c r="A36" s="4" t="s">
        <v>87</v>
      </c>
      <c r="B36" s="4" t="s">
        <v>212</v>
      </c>
      <c r="C36" s="4">
        <v>1</v>
      </c>
      <c r="D36" s="4" t="s">
        <v>17</v>
      </c>
    </row>
    <row r="37" spans="1:4" x14ac:dyDescent="0.2">
      <c r="A37" s="4" t="s">
        <v>89</v>
      </c>
      <c r="B37" s="4" t="s">
        <v>213</v>
      </c>
      <c r="C37" s="4">
        <v>1</v>
      </c>
      <c r="D37" s="4" t="s">
        <v>14</v>
      </c>
    </row>
    <row r="38" spans="1:4" x14ac:dyDescent="0.2">
      <c r="A38" s="4" t="s">
        <v>91</v>
      </c>
      <c r="B38" s="4" t="s">
        <v>214</v>
      </c>
      <c r="C38" s="4">
        <v>1</v>
      </c>
      <c r="D38" s="4" t="s">
        <v>18</v>
      </c>
    </row>
    <row r="39" spans="1:4" x14ac:dyDescent="0.2">
      <c r="A39" s="4" t="s">
        <v>93</v>
      </c>
      <c r="B39" s="4" t="s">
        <v>215</v>
      </c>
      <c r="C39" s="4">
        <v>1</v>
      </c>
      <c r="D39" s="4" t="s">
        <v>17</v>
      </c>
    </row>
    <row r="40" spans="1:4" x14ac:dyDescent="0.2">
      <c r="A40" s="4" t="s">
        <v>95</v>
      </c>
      <c r="B40" s="4" t="s">
        <v>216</v>
      </c>
      <c r="C40" s="4">
        <v>1</v>
      </c>
      <c r="D40" s="4" t="s">
        <v>14</v>
      </c>
    </row>
    <row r="41" spans="1:4" x14ac:dyDescent="0.2">
      <c r="A41" s="4" t="s">
        <v>97</v>
      </c>
      <c r="B41" s="4" t="s">
        <v>217</v>
      </c>
      <c r="C41" s="4">
        <v>1</v>
      </c>
      <c r="D41" s="4" t="s">
        <v>17</v>
      </c>
    </row>
    <row r="42" spans="1:4" x14ac:dyDescent="0.2">
      <c r="A42" s="4" t="s">
        <v>99</v>
      </c>
      <c r="B42" s="4" t="s">
        <v>218</v>
      </c>
      <c r="C42" s="4">
        <v>1</v>
      </c>
      <c r="D42" s="4" t="s">
        <v>10</v>
      </c>
    </row>
    <row r="43" spans="1:4" x14ac:dyDescent="0.2">
      <c r="A43" s="4" t="s">
        <v>101</v>
      </c>
      <c r="B43" s="4" t="s">
        <v>56</v>
      </c>
      <c r="C43" s="4">
        <v>1</v>
      </c>
      <c r="D43" s="4" t="s">
        <v>10</v>
      </c>
    </row>
    <row r="44" spans="1:4" x14ac:dyDescent="0.2">
      <c r="A44" s="4" t="s">
        <v>103</v>
      </c>
      <c r="B44" s="4" t="s">
        <v>219</v>
      </c>
      <c r="C44" s="4">
        <v>1</v>
      </c>
      <c r="D44" s="4" t="s">
        <v>15</v>
      </c>
    </row>
    <row r="45" spans="1:4" x14ac:dyDescent="0.2">
      <c r="A45" s="4" t="s">
        <v>105</v>
      </c>
      <c r="B45" s="4" t="s">
        <v>220</v>
      </c>
      <c r="C45" s="4">
        <v>1</v>
      </c>
      <c r="D45" s="4" t="s">
        <v>13</v>
      </c>
    </row>
    <row r="46" spans="1:4" x14ac:dyDescent="0.2">
      <c r="A46" s="4" t="s">
        <v>107</v>
      </c>
      <c r="B46" s="4" t="s">
        <v>221</v>
      </c>
      <c r="C46" s="4">
        <v>1</v>
      </c>
      <c r="D46" s="4" t="s">
        <v>14</v>
      </c>
    </row>
    <row r="47" spans="1:4" x14ac:dyDescent="0.2">
      <c r="A47" s="4" t="s">
        <v>109</v>
      </c>
      <c r="B47" s="4" t="s">
        <v>222</v>
      </c>
      <c r="C47" s="4">
        <v>1</v>
      </c>
      <c r="D47" s="4" t="s">
        <v>10</v>
      </c>
    </row>
    <row r="48" spans="1:4" x14ac:dyDescent="0.2">
      <c r="A48" s="4" t="s">
        <v>111</v>
      </c>
      <c r="B48" s="4" t="s">
        <v>223</v>
      </c>
      <c r="C48" s="4">
        <v>1</v>
      </c>
      <c r="D48" s="4" t="s">
        <v>14</v>
      </c>
    </row>
    <row r="49" spans="1:4" x14ac:dyDescent="0.2">
      <c r="A49" s="4" t="s">
        <v>113</v>
      </c>
      <c r="B49" s="4" t="s">
        <v>224</v>
      </c>
      <c r="C49" s="4">
        <v>1</v>
      </c>
      <c r="D49" s="4" t="s">
        <v>15</v>
      </c>
    </row>
  </sheetData>
  <phoneticPr fontId="4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Summary_Overview</vt:lpstr>
      <vt:lpstr>LOT_NO_aaa001</vt:lpstr>
      <vt:lpstr>LOT_NO_bbb002</vt:lpstr>
      <vt:lpstr>LOT_NO_ccc003</vt:lpstr>
      <vt:lpstr>LOT_NO_ddd004</vt:lpstr>
      <vt:lpstr>LOT_NO_eee005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孝一 末永</cp:lastModifiedBy>
  <dcterms:created xsi:type="dcterms:W3CDTF">2026-09-29T00:43:27Z</dcterms:created>
  <dcterms:modified xsi:type="dcterms:W3CDTF">2026-09-29T01:26:51Z</dcterms:modified>
</cp:coreProperties>
</file>